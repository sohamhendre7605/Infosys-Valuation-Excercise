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D18BBDD-EF3D-44CE-8554-6E429A1F2E61}" xr6:coauthVersionLast="47" xr6:coauthVersionMax="47" xr10:uidLastSave="{00000000-0000-0000-0000-000000000000}"/>
  <bookViews>
    <workbookView xWindow="-110" yWindow="-110" windowWidth="19420" windowHeight="10300" firstSheet="3" activeTab="1" xr2:uid="{C745BBAB-F0F8-40E8-80D5-2BB7BEDE7DCF}"/>
  </bookViews>
  <sheets>
    <sheet name="Data Sheet" sheetId="7" r:id="rId1"/>
    <sheet name="HistoricalFS" sheetId="5" r:id="rId2"/>
    <sheet name="Ratio Analysis" sheetId="11" r:id="rId3"/>
    <sheet name="WACC" sheetId="1" r:id="rId4"/>
    <sheet name="Raw FS" sheetId="4" r:id="rId5"/>
    <sheet name="Intrinsic Growth" sheetId="6" r:id="rId6"/>
    <sheet name="DCF" sheetId="8" r:id="rId7"/>
    <sheet name="Assumptions" sheetId="9" r:id="rId8"/>
    <sheet name="RM" sheetId="3" r:id="rId9"/>
    <sheet name="COMPS" sheetId="2" r:id="rId10"/>
  </sheets>
  <externalReferences>
    <externalReference r:id="rId11"/>
  </externalReferences>
  <definedNames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8" l="1"/>
  <c r="C24" i="8"/>
  <c r="M41" i="5"/>
  <c r="L41" i="5"/>
  <c r="M43" i="5"/>
  <c r="C34" i="8"/>
  <c r="C35" i="8"/>
  <c r="C22" i="8"/>
  <c r="F7" i="8"/>
  <c r="F9" i="8"/>
  <c r="F10" i="8"/>
  <c r="F11" i="8"/>
  <c r="C16" i="8"/>
  <c r="G12" i="8"/>
  <c r="E11" i="8"/>
  <c r="E10" i="8"/>
  <c r="C5" i="9"/>
  <c r="F8" i="8" s="1"/>
  <c r="F5" i="8"/>
  <c r="D61" i="6" l="1"/>
  <c r="D51" i="6"/>
  <c r="D49" i="6"/>
  <c r="C42" i="6"/>
  <c r="C38" i="6"/>
  <c r="C33" i="6"/>
  <c r="C32" i="6"/>
  <c r="C31" i="6"/>
  <c r="C29" i="4"/>
  <c r="J28" i="1"/>
  <c r="C35" i="6" l="1"/>
  <c r="E27" i="1"/>
  <c r="C37" i="11"/>
  <c r="C29" i="11"/>
  <c r="C31" i="11"/>
  <c r="C30" i="11"/>
  <c r="C25" i="11"/>
  <c r="C23" i="11"/>
  <c r="C21" i="11"/>
  <c r="C40" i="5"/>
  <c r="O35" i="11" l="1"/>
  <c r="O36" i="11"/>
  <c r="O34" i="11"/>
  <c r="O31" i="11"/>
  <c r="O30" i="11"/>
  <c r="O29" i="11"/>
  <c r="O28" i="11"/>
  <c r="O27" i="11"/>
  <c r="O25" i="11"/>
  <c r="O23" i="11"/>
  <c r="O21" i="11"/>
  <c r="O17" i="11"/>
  <c r="O19" i="11"/>
  <c r="O18" i="11"/>
  <c r="O15" i="11"/>
  <c r="O14" i="11"/>
  <c r="O13" i="11"/>
  <c r="O12" i="11"/>
  <c r="O11" i="11"/>
  <c r="O6" i="11"/>
  <c r="O7" i="11"/>
  <c r="O8" i="11"/>
  <c r="O9" i="11"/>
  <c r="O5" i="11"/>
  <c r="N36" i="11"/>
  <c r="N35" i="11"/>
  <c r="N34" i="11"/>
  <c r="N31" i="11"/>
  <c r="N30" i="11"/>
  <c r="N29" i="11"/>
  <c r="N28" i="11"/>
  <c r="N27" i="11"/>
  <c r="N25" i="11"/>
  <c r="N23" i="11"/>
  <c r="N21" i="11"/>
  <c r="N19" i="11"/>
  <c r="N18" i="11"/>
  <c r="N17" i="11"/>
  <c r="N15" i="11"/>
  <c r="N14" i="11"/>
  <c r="N13" i="11"/>
  <c r="N12" i="11"/>
  <c r="N11" i="11"/>
  <c r="N9" i="11"/>
  <c r="N8" i="11"/>
  <c r="N7" i="11"/>
  <c r="N6" i="11"/>
  <c r="N5" i="11"/>
  <c r="D37" i="11"/>
  <c r="E37" i="11"/>
  <c r="F37" i="11"/>
  <c r="G37" i="11"/>
  <c r="H37" i="11"/>
  <c r="I37" i="11"/>
  <c r="J37" i="11"/>
  <c r="K37" i="11"/>
  <c r="L37" i="11"/>
  <c r="N37" i="11"/>
  <c r="D36" i="11"/>
  <c r="E36" i="11"/>
  <c r="F36" i="11"/>
  <c r="G36" i="11"/>
  <c r="H36" i="11"/>
  <c r="I36" i="11"/>
  <c r="J36" i="11"/>
  <c r="K36" i="11"/>
  <c r="L36" i="11"/>
  <c r="C36" i="11"/>
  <c r="D30" i="11"/>
  <c r="E30" i="11"/>
  <c r="F30" i="11"/>
  <c r="G30" i="11"/>
  <c r="H30" i="11"/>
  <c r="I30" i="11"/>
  <c r="J30" i="11"/>
  <c r="K30" i="11"/>
  <c r="L30" i="11"/>
  <c r="G35" i="11"/>
  <c r="H35" i="11"/>
  <c r="E34" i="11"/>
  <c r="F34" i="11"/>
  <c r="C34" i="11"/>
  <c r="D31" i="11"/>
  <c r="E31" i="11"/>
  <c r="F31" i="11"/>
  <c r="G31" i="11"/>
  <c r="H31" i="11"/>
  <c r="I31" i="11"/>
  <c r="J31" i="11"/>
  <c r="K31" i="11"/>
  <c r="L31" i="11"/>
  <c r="D29" i="11"/>
  <c r="E29" i="11"/>
  <c r="F29" i="11"/>
  <c r="G29" i="11"/>
  <c r="H29" i="11"/>
  <c r="I29" i="11"/>
  <c r="J29" i="11"/>
  <c r="K29" i="11"/>
  <c r="L29" i="11"/>
  <c r="D28" i="11"/>
  <c r="D35" i="11" s="1"/>
  <c r="E28" i="11"/>
  <c r="E35" i="11" s="1"/>
  <c r="F28" i="11"/>
  <c r="F35" i="11" s="1"/>
  <c r="G28" i="11"/>
  <c r="H28" i="11"/>
  <c r="I28" i="11"/>
  <c r="I35" i="11" s="1"/>
  <c r="J28" i="11"/>
  <c r="J35" i="11" s="1"/>
  <c r="K28" i="11"/>
  <c r="K35" i="11" s="1"/>
  <c r="L28" i="11"/>
  <c r="L35" i="11" s="1"/>
  <c r="C28" i="11"/>
  <c r="C35" i="11" s="1"/>
  <c r="D27" i="11"/>
  <c r="D34" i="11" s="1"/>
  <c r="E27" i="11"/>
  <c r="F27" i="11"/>
  <c r="G27" i="11"/>
  <c r="G34" i="11" s="1"/>
  <c r="H27" i="11"/>
  <c r="H34" i="11" s="1"/>
  <c r="I27" i="11"/>
  <c r="I34" i="11" s="1"/>
  <c r="J27" i="11"/>
  <c r="J34" i="11" s="1"/>
  <c r="K27" i="11"/>
  <c r="K34" i="11" s="1"/>
  <c r="L27" i="11"/>
  <c r="L34" i="11" s="1"/>
  <c r="C27" i="11"/>
  <c r="D25" i="11"/>
  <c r="E25" i="11"/>
  <c r="F25" i="11"/>
  <c r="G25" i="11"/>
  <c r="H25" i="11"/>
  <c r="I25" i="11"/>
  <c r="J25" i="11"/>
  <c r="K25" i="11"/>
  <c r="L25" i="11"/>
  <c r="D23" i="11"/>
  <c r="E23" i="11"/>
  <c r="F23" i="11"/>
  <c r="G23" i="11"/>
  <c r="H23" i="11"/>
  <c r="I23" i="11"/>
  <c r="J23" i="11"/>
  <c r="K23" i="11"/>
  <c r="L23" i="11"/>
  <c r="D22" i="11"/>
  <c r="D24" i="11" s="1"/>
  <c r="E22" i="11"/>
  <c r="F22" i="11"/>
  <c r="G22" i="11"/>
  <c r="H22" i="11"/>
  <c r="I22" i="11"/>
  <c r="J22" i="11"/>
  <c r="J24" i="11" s="1"/>
  <c r="K22" i="11"/>
  <c r="K24" i="11" s="1"/>
  <c r="D21" i="11"/>
  <c r="E21" i="11"/>
  <c r="F21" i="11"/>
  <c r="G21" i="11"/>
  <c r="H21" i="11"/>
  <c r="I21" i="11"/>
  <c r="J21" i="11"/>
  <c r="K21" i="11"/>
  <c r="L21" i="11"/>
  <c r="D19" i="11"/>
  <c r="E19" i="11"/>
  <c r="F19" i="11"/>
  <c r="G19" i="11"/>
  <c r="H19" i="11"/>
  <c r="I19" i="11"/>
  <c r="J19" i="11"/>
  <c r="K19" i="11"/>
  <c r="L19" i="11"/>
  <c r="C19" i="11"/>
  <c r="D18" i="11"/>
  <c r="D17" i="11"/>
  <c r="E17" i="11"/>
  <c r="F17" i="11"/>
  <c r="G17" i="11"/>
  <c r="H17" i="11"/>
  <c r="I17" i="11"/>
  <c r="J17" i="11"/>
  <c r="K17" i="11"/>
  <c r="L17" i="11"/>
  <c r="C17" i="11"/>
  <c r="D15" i="11"/>
  <c r="E15" i="11"/>
  <c r="F15" i="11"/>
  <c r="G15" i="11"/>
  <c r="H15" i="11"/>
  <c r="I15" i="11"/>
  <c r="J15" i="11"/>
  <c r="K15" i="11"/>
  <c r="L15" i="11"/>
  <c r="C15" i="11"/>
  <c r="D14" i="11"/>
  <c r="E14" i="11"/>
  <c r="F14" i="11"/>
  <c r="G14" i="11"/>
  <c r="H14" i="11"/>
  <c r="I14" i="11"/>
  <c r="J14" i="11"/>
  <c r="K14" i="11"/>
  <c r="L14" i="11"/>
  <c r="C14" i="11"/>
  <c r="D13" i="11"/>
  <c r="E13" i="11"/>
  <c r="E18" i="11" s="1"/>
  <c r="F13" i="11"/>
  <c r="F18" i="11" s="1"/>
  <c r="G13" i="11"/>
  <c r="G18" i="11" s="1"/>
  <c r="H13" i="11"/>
  <c r="H18" i="11" s="1"/>
  <c r="I13" i="11"/>
  <c r="I18" i="11" s="1"/>
  <c r="J13" i="11"/>
  <c r="J18" i="11" s="1"/>
  <c r="K13" i="11"/>
  <c r="K18" i="11" s="1"/>
  <c r="L13" i="11"/>
  <c r="L18" i="11" s="1"/>
  <c r="C13" i="11"/>
  <c r="C18" i="11" s="1"/>
  <c r="D12" i="11"/>
  <c r="E12" i="11"/>
  <c r="F12" i="11"/>
  <c r="G12" i="11"/>
  <c r="H12" i="11"/>
  <c r="I12" i="11"/>
  <c r="J12" i="11"/>
  <c r="K12" i="11"/>
  <c r="L12" i="11"/>
  <c r="C12" i="11"/>
  <c r="D11" i="11"/>
  <c r="E11" i="11"/>
  <c r="F11" i="11"/>
  <c r="G11" i="11"/>
  <c r="H11" i="11"/>
  <c r="I11" i="11"/>
  <c r="J11" i="11"/>
  <c r="K11" i="11"/>
  <c r="L11" i="11"/>
  <c r="C11" i="11"/>
  <c r="E9" i="11"/>
  <c r="F9" i="11"/>
  <c r="G9" i="11"/>
  <c r="H9" i="11"/>
  <c r="I9" i="11"/>
  <c r="J9" i="11"/>
  <c r="K9" i="11"/>
  <c r="L9" i="11"/>
  <c r="D9" i="11"/>
  <c r="E8" i="11"/>
  <c r="F8" i="11"/>
  <c r="G8" i="11"/>
  <c r="H8" i="11"/>
  <c r="I8" i="11"/>
  <c r="J8" i="11"/>
  <c r="K8" i="11"/>
  <c r="L8" i="11"/>
  <c r="D8" i="11"/>
  <c r="E7" i="11"/>
  <c r="F7" i="11"/>
  <c r="G7" i="11"/>
  <c r="H7" i="11"/>
  <c r="I7" i="11"/>
  <c r="J7" i="11"/>
  <c r="K7" i="11"/>
  <c r="L7" i="11"/>
  <c r="D7" i="11"/>
  <c r="E6" i="11"/>
  <c r="F6" i="11"/>
  <c r="G6" i="11"/>
  <c r="H6" i="11"/>
  <c r="I6" i="11"/>
  <c r="J6" i="11"/>
  <c r="K6" i="11"/>
  <c r="L6" i="11"/>
  <c r="D6" i="11"/>
  <c r="E5" i="11"/>
  <c r="F5" i="11"/>
  <c r="G5" i="11"/>
  <c r="H5" i="11"/>
  <c r="I5" i="11"/>
  <c r="J5" i="11"/>
  <c r="K5" i="11"/>
  <c r="L5" i="11"/>
  <c r="D5" i="11"/>
  <c r="D3" i="11"/>
  <c r="E3" i="11"/>
  <c r="F3" i="11"/>
  <c r="G3" i="11"/>
  <c r="H3" i="11"/>
  <c r="I3" i="11"/>
  <c r="J3" i="11"/>
  <c r="K3" i="11"/>
  <c r="L3" i="11"/>
  <c r="C3" i="11"/>
  <c r="O37" i="11" l="1"/>
  <c r="E24" i="11"/>
  <c r="H24" i="11"/>
  <c r="I24" i="11"/>
  <c r="G24" i="11"/>
  <c r="F24" i="11"/>
  <c r="B2" i="11" l="1"/>
  <c r="B2" i="5"/>
  <c r="C57" i="5"/>
  <c r="L14" i="5"/>
  <c r="C14" i="5"/>
  <c r="L11" i="5"/>
  <c r="C11" i="5"/>
  <c r="L8" i="5"/>
  <c r="D8" i="5"/>
  <c r="E8" i="5"/>
  <c r="F8" i="5"/>
  <c r="G8" i="5"/>
  <c r="H8" i="5"/>
  <c r="I8" i="5"/>
  <c r="J8" i="5"/>
  <c r="K8" i="5"/>
  <c r="M8" i="5"/>
  <c r="C8" i="5"/>
  <c r="C9" i="5" s="1"/>
  <c r="C56" i="5"/>
  <c r="C55" i="5"/>
  <c r="C54" i="5"/>
  <c r="C63" i="5"/>
  <c r="D11" i="5"/>
  <c r="D6" i="5"/>
  <c r="C12" i="5" l="1"/>
  <c r="C58" i="5"/>
  <c r="C37" i="8" l="1"/>
  <c r="H12" i="8"/>
  <c r="I12" i="8" l="1"/>
  <c r="E5" i="8"/>
  <c r="G5" i="8" s="1"/>
  <c r="H5" i="8" s="1"/>
  <c r="I5" i="8" s="1"/>
  <c r="J5" i="8" s="1"/>
  <c r="J12" i="8" l="1"/>
  <c r="E1" i="7" l="1"/>
  <c r="B6" i="7"/>
  <c r="E43" i="6"/>
  <c r="F43" i="6"/>
  <c r="G43" i="6"/>
  <c r="D43" i="6"/>
  <c r="G56" i="6"/>
  <c r="F56" i="6"/>
  <c r="E56" i="6"/>
  <c r="D56" i="6"/>
  <c r="C56" i="6"/>
  <c r="E49" i="6"/>
  <c r="F49" i="6"/>
  <c r="G49" i="6"/>
  <c r="D42" i="6"/>
  <c r="E42" i="6"/>
  <c r="F42" i="6"/>
  <c r="G42" i="6"/>
  <c r="G40" i="6"/>
  <c r="F40" i="6"/>
  <c r="E40" i="6"/>
  <c r="D40" i="6"/>
  <c r="C40" i="6"/>
  <c r="D35" i="6"/>
  <c r="E35" i="6"/>
  <c r="F35" i="6"/>
  <c r="G35" i="6"/>
  <c r="D33" i="6"/>
  <c r="E33" i="6"/>
  <c r="F33" i="6"/>
  <c r="G33" i="6"/>
  <c r="D32" i="6"/>
  <c r="E32" i="6"/>
  <c r="F32" i="6"/>
  <c r="G32" i="6"/>
  <c r="D31" i="6"/>
  <c r="E31" i="6"/>
  <c r="F31" i="6"/>
  <c r="G31" i="6"/>
  <c r="C23" i="6"/>
  <c r="D23" i="6"/>
  <c r="E23" i="6"/>
  <c r="F23" i="6"/>
  <c r="G23" i="6"/>
  <c r="C24" i="6"/>
  <c r="D24" i="6"/>
  <c r="E24" i="6"/>
  <c r="F24" i="6"/>
  <c r="G24" i="6"/>
  <c r="C25" i="6"/>
  <c r="D25" i="6"/>
  <c r="E25" i="6"/>
  <c r="F25" i="6"/>
  <c r="G25" i="6"/>
  <c r="C26" i="6"/>
  <c r="D26" i="6"/>
  <c r="E26" i="6"/>
  <c r="F26" i="6"/>
  <c r="G26" i="6"/>
  <c r="C27" i="6"/>
  <c r="D27" i="6"/>
  <c r="E27" i="6"/>
  <c r="F27" i="6"/>
  <c r="G27" i="6"/>
  <c r="C28" i="6"/>
  <c r="D28" i="6"/>
  <c r="E28" i="6"/>
  <c r="F28" i="6"/>
  <c r="G28" i="6"/>
  <c r="C29" i="6"/>
  <c r="D29" i="6"/>
  <c r="E29" i="6"/>
  <c r="F29" i="6"/>
  <c r="G29" i="6"/>
  <c r="C30" i="6"/>
  <c r="D30" i="6"/>
  <c r="E30" i="6"/>
  <c r="F30" i="6"/>
  <c r="G30" i="6"/>
  <c r="D22" i="6"/>
  <c r="E22" i="6"/>
  <c r="F22" i="6"/>
  <c r="G22" i="6"/>
  <c r="C22" i="6"/>
  <c r="B22" i="6" a="1"/>
  <c r="B22" i="6" s="1"/>
  <c r="D19" i="6"/>
  <c r="E19" i="6"/>
  <c r="F19" i="6"/>
  <c r="G19" i="6"/>
  <c r="C19" i="6"/>
  <c r="D17" i="6"/>
  <c r="E17" i="6"/>
  <c r="F17" i="6"/>
  <c r="G17" i="6"/>
  <c r="C17" i="6"/>
  <c r="C15" i="6"/>
  <c r="D15" i="6"/>
  <c r="E15" i="6"/>
  <c r="F15" i="6"/>
  <c r="G15" i="6"/>
  <c r="C16" i="6"/>
  <c r="D16" i="6"/>
  <c r="E16" i="6"/>
  <c r="F16" i="6"/>
  <c r="G16" i="6"/>
  <c r="D14" i="6"/>
  <c r="E14" i="6"/>
  <c r="F14" i="6"/>
  <c r="G14" i="6"/>
  <c r="C14" i="6"/>
  <c r="B14" i="6" a="1"/>
  <c r="B14" i="6" s="1"/>
  <c r="D11" i="6"/>
  <c r="E11" i="6"/>
  <c r="F11" i="6"/>
  <c r="G11" i="6"/>
  <c r="C11" i="6"/>
  <c r="C10" i="6"/>
  <c r="D10" i="6"/>
  <c r="E10" i="6"/>
  <c r="F10" i="6"/>
  <c r="G10" i="6"/>
  <c r="D9" i="6"/>
  <c r="E9" i="6"/>
  <c r="F9" i="6"/>
  <c r="G9" i="6"/>
  <c r="C9" i="6"/>
  <c r="D8" i="6"/>
  <c r="E8" i="6"/>
  <c r="F8" i="6"/>
  <c r="G8" i="6"/>
  <c r="C8" i="6"/>
  <c r="B9" i="6" a="1"/>
  <c r="B9" i="6" s="1"/>
  <c r="B8" i="6"/>
  <c r="G5" i="6"/>
  <c r="F5" i="6"/>
  <c r="E5" i="6"/>
  <c r="D5" i="6"/>
  <c r="C5" i="6"/>
  <c r="D29" i="4"/>
  <c r="E29" i="4"/>
  <c r="F29" i="4"/>
  <c r="G29" i="4"/>
  <c r="H29" i="4"/>
  <c r="I29" i="4"/>
  <c r="J29" i="4"/>
  <c r="K29" i="4"/>
  <c r="L29" i="4"/>
  <c r="M29" i="4"/>
  <c r="N29" i="4"/>
  <c r="C3" i="5" l="1"/>
  <c r="D3" i="5"/>
  <c r="E3" i="5"/>
  <c r="F3" i="5"/>
  <c r="G3" i="5"/>
  <c r="H3" i="5"/>
  <c r="I3" i="5"/>
  <c r="J3" i="5"/>
  <c r="K3" i="5"/>
  <c r="L3" i="5"/>
  <c r="C5" i="5"/>
  <c r="D5" i="5"/>
  <c r="E5" i="5"/>
  <c r="E6" i="5" s="1"/>
  <c r="F5" i="5"/>
  <c r="F21" i="5" s="1"/>
  <c r="G5" i="5"/>
  <c r="G6" i="5" s="1"/>
  <c r="H5" i="5"/>
  <c r="I5" i="5"/>
  <c r="J5" i="5"/>
  <c r="K5" i="5"/>
  <c r="L5" i="5"/>
  <c r="L6" i="5" s="1"/>
  <c r="M5" i="5"/>
  <c r="M6" i="5" s="1"/>
  <c r="F6" i="5"/>
  <c r="D9" i="5"/>
  <c r="H11" i="5"/>
  <c r="I9" i="5"/>
  <c r="K9" i="5"/>
  <c r="L12" i="5"/>
  <c r="C15" i="5"/>
  <c r="D14" i="5"/>
  <c r="D15" i="5" s="1"/>
  <c r="E14" i="5"/>
  <c r="F14" i="5"/>
  <c r="G14" i="5"/>
  <c r="H14" i="5"/>
  <c r="H15" i="5" s="1"/>
  <c r="I14" i="5"/>
  <c r="I15" i="5" s="1"/>
  <c r="J14" i="5"/>
  <c r="K14" i="5"/>
  <c r="K15" i="5" s="1"/>
  <c r="M14" i="5"/>
  <c r="C20" i="5"/>
  <c r="C21" i="5" s="1"/>
  <c r="D20" i="5"/>
  <c r="D21" i="5" s="1"/>
  <c r="E20" i="5"/>
  <c r="F20" i="5"/>
  <c r="G20" i="5"/>
  <c r="H20" i="5"/>
  <c r="H21" i="5" s="1"/>
  <c r="I20" i="5"/>
  <c r="I21" i="5" s="1"/>
  <c r="J20" i="5"/>
  <c r="K20" i="5"/>
  <c r="K21" i="5" s="1"/>
  <c r="L20" i="5"/>
  <c r="L21" i="5" s="1"/>
  <c r="M20" i="5"/>
  <c r="C23" i="5"/>
  <c r="C24" i="5" s="1"/>
  <c r="D23" i="5"/>
  <c r="D24" i="5" s="1"/>
  <c r="E23" i="5"/>
  <c r="F23" i="5"/>
  <c r="G23" i="5"/>
  <c r="H23" i="5"/>
  <c r="I23" i="5"/>
  <c r="J23" i="5"/>
  <c r="K23" i="5"/>
  <c r="K24" i="5" s="1"/>
  <c r="L23" i="5"/>
  <c r="L24" i="5" s="1"/>
  <c r="M23" i="5"/>
  <c r="F24" i="5"/>
  <c r="H24" i="5"/>
  <c r="I24" i="5"/>
  <c r="C29" i="5"/>
  <c r="D29" i="5"/>
  <c r="E29" i="5"/>
  <c r="F29" i="5"/>
  <c r="G29" i="5"/>
  <c r="H29" i="5"/>
  <c r="I29" i="5"/>
  <c r="J29" i="5"/>
  <c r="K29" i="5"/>
  <c r="L29" i="5"/>
  <c r="M29" i="5"/>
  <c r="C35" i="5"/>
  <c r="D35" i="5"/>
  <c r="D40" i="5" s="1"/>
  <c r="E35" i="5"/>
  <c r="E40" i="5" s="1"/>
  <c r="F35" i="5"/>
  <c r="F40" i="5" s="1"/>
  <c r="G35" i="5"/>
  <c r="G40" i="5" s="1"/>
  <c r="H35" i="5"/>
  <c r="H40" i="5" s="1"/>
  <c r="I35" i="5"/>
  <c r="I40" i="5" s="1"/>
  <c r="J35" i="5"/>
  <c r="J40" i="5" s="1"/>
  <c r="K35" i="5"/>
  <c r="K40" i="5" s="1"/>
  <c r="L35" i="5"/>
  <c r="L40" i="5" s="1"/>
  <c r="M35" i="5"/>
  <c r="M40" i="5" s="1"/>
  <c r="C48" i="5"/>
  <c r="D48" i="5"/>
  <c r="E48" i="5"/>
  <c r="F48" i="5"/>
  <c r="G48" i="5"/>
  <c r="H48" i="5"/>
  <c r="I48" i="5"/>
  <c r="J48" i="5"/>
  <c r="K48" i="5"/>
  <c r="L48" i="5"/>
  <c r="C49" i="5"/>
  <c r="D49" i="5"/>
  <c r="E49" i="5"/>
  <c r="F49" i="5"/>
  <c r="G49" i="5"/>
  <c r="H49" i="5"/>
  <c r="I49" i="5"/>
  <c r="J49" i="5"/>
  <c r="K49" i="5"/>
  <c r="L49" i="5"/>
  <c r="C50" i="5"/>
  <c r="D50" i="5"/>
  <c r="E50" i="5"/>
  <c r="F50" i="5"/>
  <c r="G50" i="5"/>
  <c r="H50" i="5"/>
  <c r="I50" i="5"/>
  <c r="J50" i="5"/>
  <c r="K50" i="5"/>
  <c r="L50" i="5"/>
  <c r="C51" i="5"/>
  <c r="D51" i="5"/>
  <c r="E51" i="5"/>
  <c r="F51" i="5"/>
  <c r="G51" i="5"/>
  <c r="H51" i="5"/>
  <c r="I51" i="5"/>
  <c r="J51" i="5"/>
  <c r="K51" i="5"/>
  <c r="L51" i="5"/>
  <c r="D54" i="5"/>
  <c r="D58" i="5" s="1"/>
  <c r="E54" i="5"/>
  <c r="F54" i="5"/>
  <c r="G54" i="5"/>
  <c r="H54" i="5"/>
  <c r="I54" i="5"/>
  <c r="J54" i="5"/>
  <c r="K54" i="5"/>
  <c r="L54" i="5"/>
  <c r="D55" i="5"/>
  <c r="E55" i="5"/>
  <c r="F55" i="5"/>
  <c r="G55" i="5"/>
  <c r="H55" i="5"/>
  <c r="I55" i="5"/>
  <c r="I58" i="5" s="1"/>
  <c r="J55" i="5"/>
  <c r="J58" i="5" s="1"/>
  <c r="K55" i="5"/>
  <c r="L55" i="5"/>
  <c r="D56" i="5"/>
  <c r="E56" i="5"/>
  <c r="F56" i="5"/>
  <c r="G56" i="5"/>
  <c r="H56" i="5"/>
  <c r="H58" i="5" s="1"/>
  <c r="I56" i="5"/>
  <c r="J56" i="5"/>
  <c r="K56" i="5"/>
  <c r="L56" i="5"/>
  <c r="D57" i="5"/>
  <c r="E57" i="5"/>
  <c r="F57" i="5"/>
  <c r="F58" i="5" s="1"/>
  <c r="G57" i="5"/>
  <c r="H57" i="5"/>
  <c r="I57" i="5"/>
  <c r="J57" i="5"/>
  <c r="K57" i="5"/>
  <c r="L57" i="5"/>
  <c r="L58" i="5"/>
  <c r="C60" i="5"/>
  <c r="D60" i="5"/>
  <c r="E60" i="5"/>
  <c r="F60" i="5"/>
  <c r="G60" i="5"/>
  <c r="H60" i="5"/>
  <c r="I60" i="5"/>
  <c r="J60" i="5"/>
  <c r="J63" i="5" s="1"/>
  <c r="K60" i="5"/>
  <c r="L60" i="5"/>
  <c r="C61" i="5"/>
  <c r="D61" i="5"/>
  <c r="E61" i="5"/>
  <c r="F61" i="5"/>
  <c r="G61" i="5"/>
  <c r="H61" i="5"/>
  <c r="H63" i="5" s="1"/>
  <c r="I61" i="5"/>
  <c r="J61" i="5"/>
  <c r="K61" i="5"/>
  <c r="L61" i="5"/>
  <c r="C62" i="5"/>
  <c r="D62" i="5"/>
  <c r="D63" i="5" s="1"/>
  <c r="E62" i="5"/>
  <c r="F62" i="5"/>
  <c r="F63" i="5" s="1"/>
  <c r="G62" i="5"/>
  <c r="H62" i="5"/>
  <c r="I62" i="5"/>
  <c r="J62" i="5"/>
  <c r="K62" i="5"/>
  <c r="K63" i="5" s="1"/>
  <c r="L62" i="5"/>
  <c r="I63" i="5"/>
  <c r="C72" i="5"/>
  <c r="D72" i="5"/>
  <c r="E72" i="5"/>
  <c r="F72" i="5"/>
  <c r="G72" i="5"/>
  <c r="H72" i="5"/>
  <c r="I72" i="5"/>
  <c r="J72" i="5"/>
  <c r="K72" i="5"/>
  <c r="L72" i="5"/>
  <c r="C73" i="5"/>
  <c r="D73" i="5"/>
  <c r="E73" i="5"/>
  <c r="F73" i="5"/>
  <c r="G73" i="5"/>
  <c r="H73" i="5"/>
  <c r="I73" i="5"/>
  <c r="J73" i="5"/>
  <c r="K73" i="5"/>
  <c r="L73" i="5"/>
  <c r="C74" i="5"/>
  <c r="D74" i="5"/>
  <c r="E74" i="5"/>
  <c r="F74" i="5"/>
  <c r="G74" i="5"/>
  <c r="H74" i="5"/>
  <c r="I74" i="5"/>
  <c r="J74" i="5"/>
  <c r="K74" i="5"/>
  <c r="L74" i="5"/>
  <c r="C75" i="5"/>
  <c r="D75" i="5"/>
  <c r="E75" i="5"/>
  <c r="F75" i="5"/>
  <c r="G75" i="5"/>
  <c r="H75" i="5"/>
  <c r="I75" i="5"/>
  <c r="J75" i="5"/>
  <c r="K75" i="5"/>
  <c r="L75" i="5"/>
  <c r="C76" i="5"/>
  <c r="D76" i="5"/>
  <c r="E76" i="5"/>
  <c r="F76" i="5"/>
  <c r="G76" i="5"/>
  <c r="H76" i="5"/>
  <c r="I76" i="5"/>
  <c r="J76" i="5"/>
  <c r="K76" i="5"/>
  <c r="L76" i="5"/>
  <c r="C77" i="5"/>
  <c r="D77" i="5"/>
  <c r="E77" i="5"/>
  <c r="F77" i="5"/>
  <c r="G77" i="5"/>
  <c r="H77" i="5"/>
  <c r="I77" i="5"/>
  <c r="J77" i="5"/>
  <c r="K77" i="5"/>
  <c r="L77" i="5"/>
  <c r="C78" i="5"/>
  <c r="D78" i="5"/>
  <c r="E78" i="5"/>
  <c r="F78" i="5"/>
  <c r="G78" i="5"/>
  <c r="H78" i="5"/>
  <c r="I78" i="5"/>
  <c r="J78" i="5"/>
  <c r="K78" i="5"/>
  <c r="L78" i="5"/>
  <c r="C83" i="5"/>
  <c r="D83" i="5"/>
  <c r="E83" i="5"/>
  <c r="F83" i="5"/>
  <c r="G83" i="5"/>
  <c r="H83" i="5"/>
  <c r="I83" i="5"/>
  <c r="J83" i="5"/>
  <c r="K83" i="5"/>
  <c r="L83" i="5"/>
  <c r="C84" i="5"/>
  <c r="D84" i="5"/>
  <c r="E84" i="5"/>
  <c r="F84" i="5"/>
  <c r="G84" i="5"/>
  <c r="H84" i="5"/>
  <c r="I84" i="5"/>
  <c r="J84" i="5"/>
  <c r="K84" i="5"/>
  <c r="L84" i="5"/>
  <c r="C85" i="5"/>
  <c r="D85" i="5"/>
  <c r="E85" i="5"/>
  <c r="F85" i="5"/>
  <c r="G85" i="5"/>
  <c r="H85" i="5"/>
  <c r="I85" i="5"/>
  <c r="J85" i="5"/>
  <c r="K85" i="5"/>
  <c r="L85" i="5"/>
  <c r="C86" i="5"/>
  <c r="D86" i="5"/>
  <c r="E86" i="5"/>
  <c r="F86" i="5"/>
  <c r="G86" i="5"/>
  <c r="H86" i="5"/>
  <c r="I86" i="5"/>
  <c r="J86" i="5"/>
  <c r="K86" i="5"/>
  <c r="L86" i="5"/>
  <c r="C87" i="5"/>
  <c r="D87" i="5"/>
  <c r="E87" i="5"/>
  <c r="F87" i="5"/>
  <c r="G87" i="5"/>
  <c r="H87" i="5"/>
  <c r="I87" i="5"/>
  <c r="J87" i="5"/>
  <c r="K87" i="5"/>
  <c r="L87" i="5"/>
  <c r="C88" i="5"/>
  <c r="D88" i="5"/>
  <c r="E88" i="5"/>
  <c r="F88" i="5"/>
  <c r="G88" i="5"/>
  <c r="H88" i="5"/>
  <c r="I88" i="5"/>
  <c r="J88" i="5"/>
  <c r="K88" i="5"/>
  <c r="L88" i="5"/>
  <c r="C89" i="5"/>
  <c r="D89" i="5"/>
  <c r="E89" i="5"/>
  <c r="F89" i="5"/>
  <c r="G89" i="5"/>
  <c r="H89" i="5"/>
  <c r="I89" i="5"/>
  <c r="J89" i="5"/>
  <c r="K89" i="5"/>
  <c r="L89" i="5"/>
  <c r="C90" i="5"/>
  <c r="D90" i="5"/>
  <c r="E90" i="5"/>
  <c r="F90" i="5"/>
  <c r="G90" i="5"/>
  <c r="H90" i="5"/>
  <c r="I90" i="5"/>
  <c r="J90" i="5"/>
  <c r="K90" i="5"/>
  <c r="L90" i="5"/>
  <c r="C95" i="5"/>
  <c r="D95" i="5"/>
  <c r="E95" i="5"/>
  <c r="F95" i="5"/>
  <c r="G95" i="5"/>
  <c r="H95" i="5"/>
  <c r="I95" i="5"/>
  <c r="J95" i="5"/>
  <c r="K95" i="5"/>
  <c r="L95" i="5"/>
  <c r="C96" i="5"/>
  <c r="D96" i="5"/>
  <c r="E96" i="5"/>
  <c r="F96" i="5"/>
  <c r="G96" i="5"/>
  <c r="H96" i="5"/>
  <c r="I96" i="5"/>
  <c r="J96" i="5"/>
  <c r="K96" i="5"/>
  <c r="L96" i="5"/>
  <c r="C97" i="5"/>
  <c r="D97" i="5"/>
  <c r="E97" i="5"/>
  <c r="F97" i="5"/>
  <c r="G97" i="5"/>
  <c r="H97" i="5"/>
  <c r="I97" i="5"/>
  <c r="J97" i="5"/>
  <c r="K97" i="5"/>
  <c r="L97" i="5"/>
  <c r="C98" i="5"/>
  <c r="D98" i="5"/>
  <c r="E98" i="5"/>
  <c r="F98" i="5"/>
  <c r="G98" i="5"/>
  <c r="H98" i="5"/>
  <c r="I98" i="5"/>
  <c r="J98" i="5"/>
  <c r="K98" i="5"/>
  <c r="L98" i="5"/>
  <c r="C99" i="5"/>
  <c r="D99" i="5"/>
  <c r="E99" i="5"/>
  <c r="F99" i="5"/>
  <c r="G99" i="5"/>
  <c r="H99" i="5"/>
  <c r="I99" i="5"/>
  <c r="J99" i="5"/>
  <c r="K99" i="5"/>
  <c r="L99" i="5"/>
  <c r="L80" i="5" l="1"/>
  <c r="G101" i="5"/>
  <c r="C80" i="5"/>
  <c r="C92" i="5"/>
  <c r="D80" i="5"/>
  <c r="E80" i="5"/>
  <c r="D101" i="5"/>
  <c r="H80" i="5"/>
  <c r="F92" i="5"/>
  <c r="F101" i="5"/>
  <c r="K80" i="5"/>
  <c r="H101" i="5"/>
  <c r="J101" i="5"/>
  <c r="K92" i="5"/>
  <c r="J80" i="5"/>
  <c r="I65" i="5"/>
  <c r="F15" i="5"/>
  <c r="K52" i="5"/>
  <c r="F11" i="5"/>
  <c r="F12" i="5" s="1"/>
  <c r="K11" i="5"/>
  <c r="F52" i="5"/>
  <c r="L63" i="5"/>
  <c r="C52" i="5"/>
  <c r="L9" i="5"/>
  <c r="H6" i="5"/>
  <c r="G15" i="5"/>
  <c r="F9" i="5"/>
  <c r="L92" i="5"/>
  <c r="G21" i="5"/>
  <c r="E11" i="5"/>
  <c r="E17" i="5" s="1"/>
  <c r="I101" i="5"/>
  <c r="K101" i="5"/>
  <c r="C101" i="5"/>
  <c r="E101" i="5"/>
  <c r="K58" i="5"/>
  <c r="K65" i="5" s="1"/>
  <c r="K67" i="5" s="1"/>
  <c r="C65" i="5"/>
  <c r="E58" i="5"/>
  <c r="G58" i="5"/>
  <c r="G24" i="5"/>
  <c r="L17" i="5"/>
  <c r="L18" i="5" s="1"/>
  <c r="D12" i="5"/>
  <c r="L65" i="5"/>
  <c r="J92" i="5"/>
  <c r="J52" i="5"/>
  <c r="E15" i="5"/>
  <c r="E92" i="5"/>
  <c r="G92" i="5"/>
  <c r="G103" i="5" s="1"/>
  <c r="I92" i="5"/>
  <c r="I103" i="5" s="1"/>
  <c r="E52" i="5"/>
  <c r="G52" i="5"/>
  <c r="I52" i="5"/>
  <c r="I67" i="5" s="1"/>
  <c r="L15" i="5"/>
  <c r="J24" i="5"/>
  <c r="L101" i="5"/>
  <c r="H92" i="5"/>
  <c r="L52" i="5"/>
  <c r="L67" i="5" s="1"/>
  <c r="E63" i="5"/>
  <c r="M11" i="5"/>
  <c r="M17" i="5" s="1"/>
  <c r="G80" i="5"/>
  <c r="I80" i="5"/>
  <c r="H52" i="5"/>
  <c r="M24" i="5"/>
  <c r="E24" i="5"/>
  <c r="M21" i="5"/>
  <c r="E21" i="5"/>
  <c r="I6" i="5"/>
  <c r="G9" i="5"/>
  <c r="D92" i="5"/>
  <c r="D65" i="5"/>
  <c r="D52" i="5"/>
  <c r="D67" i="5" s="1"/>
  <c r="G11" i="5"/>
  <c r="G12" i="5" s="1"/>
  <c r="F80" i="5"/>
  <c r="G63" i="5"/>
  <c r="M15" i="5"/>
  <c r="H9" i="5"/>
  <c r="F65" i="5"/>
  <c r="H65" i="5"/>
  <c r="J65" i="5"/>
  <c r="D103" i="5"/>
  <c r="F67" i="5"/>
  <c r="H12" i="5"/>
  <c r="H17" i="5"/>
  <c r="C36" i="6" s="1"/>
  <c r="J9" i="5"/>
  <c r="J15" i="5"/>
  <c r="J21" i="5"/>
  <c r="J11" i="5"/>
  <c r="M9" i="5"/>
  <c r="E9" i="5"/>
  <c r="K6" i="5"/>
  <c r="I11" i="5"/>
  <c r="J6" i="5"/>
  <c r="H39" i="11" l="1"/>
  <c r="H41" i="11"/>
  <c r="H40" i="11"/>
  <c r="D41" i="11"/>
  <c r="D40" i="11"/>
  <c r="D39" i="11"/>
  <c r="I39" i="11"/>
  <c r="I41" i="11"/>
  <c r="I40" i="11"/>
  <c r="F41" i="11"/>
  <c r="F40" i="11"/>
  <c r="F39" i="11"/>
  <c r="J39" i="11"/>
  <c r="J41" i="11"/>
  <c r="J40" i="11"/>
  <c r="E41" i="11"/>
  <c r="E40" i="11"/>
  <c r="E39" i="11"/>
  <c r="G39" i="11"/>
  <c r="G41" i="11"/>
  <c r="G40" i="11"/>
  <c r="K40" i="11"/>
  <c r="K41" i="11"/>
  <c r="K39" i="11"/>
  <c r="C41" i="11"/>
  <c r="O41" i="11" s="1"/>
  <c r="C40" i="11"/>
  <c r="O40" i="11" s="1"/>
  <c r="C39" i="11"/>
  <c r="O39" i="11" s="1"/>
  <c r="L41" i="11"/>
  <c r="L40" i="11"/>
  <c r="L39" i="11"/>
  <c r="C67" i="5"/>
  <c r="H103" i="5"/>
  <c r="J103" i="5"/>
  <c r="E103" i="5"/>
  <c r="F103" i="5"/>
  <c r="G36" i="6"/>
  <c r="E7" i="8"/>
  <c r="M12" i="5"/>
  <c r="C103" i="5"/>
  <c r="L103" i="5"/>
  <c r="K103" i="5"/>
  <c r="H67" i="5"/>
  <c r="C17" i="5"/>
  <c r="C18" i="5" s="1"/>
  <c r="G65" i="5"/>
  <c r="G67" i="5" s="1"/>
  <c r="J67" i="5"/>
  <c r="K12" i="5"/>
  <c r="K17" i="5"/>
  <c r="L26" i="5"/>
  <c r="L27" i="5" s="1"/>
  <c r="F17" i="5"/>
  <c r="E65" i="5"/>
  <c r="E67" i="5" s="1"/>
  <c r="D17" i="5"/>
  <c r="C45" i="6"/>
  <c r="E12" i="5"/>
  <c r="G45" i="6"/>
  <c r="G38" i="6"/>
  <c r="G59" i="6" s="1"/>
  <c r="F26" i="5"/>
  <c r="F18" i="5"/>
  <c r="G17" i="5"/>
  <c r="G26" i="5" s="1"/>
  <c r="J12" i="5"/>
  <c r="J17" i="5"/>
  <c r="E36" i="6" s="1"/>
  <c r="H26" i="5"/>
  <c r="H18" i="5"/>
  <c r="I17" i="5"/>
  <c r="D36" i="6" s="1"/>
  <c r="I12" i="5"/>
  <c r="M26" i="5"/>
  <c r="M18" i="5"/>
  <c r="E26" i="5"/>
  <c r="E18" i="5"/>
  <c r="N41" i="11" l="1"/>
  <c r="N40" i="11"/>
  <c r="N39" i="11"/>
  <c r="L30" i="5"/>
  <c r="L32" i="5"/>
  <c r="L33" i="5" s="1"/>
  <c r="K18" i="5"/>
  <c r="K26" i="5"/>
  <c r="F36" i="6"/>
  <c r="G18" i="5"/>
  <c r="C26" i="5"/>
  <c r="E38" i="6"/>
  <c r="E59" i="6" s="1"/>
  <c r="E45" i="6"/>
  <c r="D45" i="6"/>
  <c r="D38" i="6"/>
  <c r="D59" i="6" s="1"/>
  <c r="F30" i="5"/>
  <c r="F27" i="5"/>
  <c r="F32" i="5"/>
  <c r="D26" i="5"/>
  <c r="D18" i="5"/>
  <c r="H27" i="5"/>
  <c r="H32" i="5"/>
  <c r="H30" i="5"/>
  <c r="M27" i="5"/>
  <c r="M32" i="5"/>
  <c r="M30" i="5"/>
  <c r="J26" i="5"/>
  <c r="J18" i="5"/>
  <c r="E27" i="5"/>
  <c r="E32" i="5"/>
  <c r="E30" i="5"/>
  <c r="I18" i="5"/>
  <c r="I26" i="5"/>
  <c r="G30" i="5"/>
  <c r="G27" i="5"/>
  <c r="G32" i="5"/>
  <c r="C46" i="6" l="1"/>
  <c r="C47" i="6" s="1"/>
  <c r="G46" i="6"/>
  <c r="G47" i="6" s="1"/>
  <c r="G51" i="6" s="1"/>
  <c r="G58" i="6" s="1"/>
  <c r="G61" i="6" s="1"/>
  <c r="E8" i="8"/>
  <c r="E9" i="8" s="1"/>
  <c r="C30" i="5"/>
  <c r="C32" i="5"/>
  <c r="F45" i="6"/>
  <c r="F38" i="6"/>
  <c r="F59" i="6" s="1"/>
  <c r="K32" i="5"/>
  <c r="K30" i="5"/>
  <c r="F46" i="6" s="1"/>
  <c r="K27" i="5"/>
  <c r="L37" i="5"/>
  <c r="L43" i="5" s="1"/>
  <c r="L22" i="11" s="1"/>
  <c r="C27" i="5"/>
  <c r="D30" i="5"/>
  <c r="D27" i="5"/>
  <c r="D32" i="5"/>
  <c r="F33" i="5"/>
  <c r="F37" i="5"/>
  <c r="G37" i="5"/>
  <c r="G33" i="5"/>
  <c r="E37" i="5"/>
  <c r="E33" i="5"/>
  <c r="J30" i="5"/>
  <c r="E46" i="6" s="1"/>
  <c r="E47" i="6" s="1"/>
  <c r="E51" i="6" s="1"/>
  <c r="E58" i="6" s="1"/>
  <c r="E61" i="6" s="1"/>
  <c r="J27" i="5"/>
  <c r="J32" i="5"/>
  <c r="M37" i="5"/>
  <c r="M33" i="5"/>
  <c r="I30" i="5"/>
  <c r="D46" i="6" s="1"/>
  <c r="D47" i="6" s="1"/>
  <c r="I27" i="5"/>
  <c r="I32" i="5"/>
  <c r="H33" i="5"/>
  <c r="H37" i="5"/>
  <c r="L24" i="11" l="1"/>
  <c r="N22" i="11"/>
  <c r="O22" i="11"/>
  <c r="C37" i="5"/>
  <c r="C33" i="5"/>
  <c r="K37" i="5"/>
  <c r="K33" i="5"/>
  <c r="F47" i="6"/>
  <c r="F51" i="6" s="1"/>
  <c r="F58" i="6" s="1"/>
  <c r="F61" i="6" s="1"/>
  <c r="F41" i="5"/>
  <c r="F43" i="5" s="1"/>
  <c r="D33" i="5"/>
  <c r="D37" i="5"/>
  <c r="E38" i="5" s="1"/>
  <c r="D58" i="6"/>
  <c r="G54" i="6"/>
  <c r="G10" i="8" s="1"/>
  <c r="H10" i="8" s="1"/>
  <c r="I10" i="8" s="1"/>
  <c r="I33" i="5"/>
  <c r="I37" i="5"/>
  <c r="M38" i="5"/>
  <c r="J37" i="5"/>
  <c r="J33" i="5"/>
  <c r="E41" i="5"/>
  <c r="E43" i="5" s="1"/>
  <c r="F38" i="5"/>
  <c r="H38" i="5"/>
  <c r="H41" i="5"/>
  <c r="H43" i="5" s="1"/>
  <c r="G38" i="5"/>
  <c r="G41" i="5"/>
  <c r="G43" i="5" s="1"/>
  <c r="N24" i="11" l="1"/>
  <c r="O24" i="11"/>
  <c r="G8" i="8"/>
  <c r="H8" i="8"/>
  <c r="I8" i="8"/>
  <c r="J8" i="8"/>
  <c r="C41" i="5"/>
  <c r="C43" i="5" s="1"/>
  <c r="C22" i="11" s="1"/>
  <c r="C24" i="11" s="1"/>
  <c r="K41" i="5"/>
  <c r="K43" i="5" s="1"/>
  <c r="L38" i="5"/>
  <c r="G53" i="6"/>
  <c r="G64" i="6"/>
  <c r="G63" i="6"/>
  <c r="D38" i="5"/>
  <c r="D41" i="5"/>
  <c r="D43" i="5" s="1"/>
  <c r="I38" i="5"/>
  <c r="I41" i="5"/>
  <c r="I43" i="5" s="1"/>
  <c r="J41" i="5"/>
  <c r="J43" i="5" s="1"/>
  <c r="J38" i="5"/>
  <c r="K38" i="5"/>
  <c r="G7" i="8" l="1"/>
  <c r="G9" i="8" l="1"/>
  <c r="G11" i="8" s="1"/>
  <c r="H7" i="8"/>
  <c r="F10" i="3"/>
  <c r="F8" i="3"/>
  <c r="I7" i="8" l="1"/>
  <c r="H9" i="8"/>
  <c r="H11" i="8" s="1"/>
  <c r="E28" i="1"/>
  <c r="J37" i="1" s="1"/>
  <c r="I21" i="1"/>
  <c r="I22" i="1"/>
  <c r="F22" i="1"/>
  <c r="F21" i="1"/>
  <c r="E16" i="1"/>
  <c r="C37" i="1" s="1"/>
  <c r="E17" i="1"/>
  <c r="E18" i="1"/>
  <c r="E19" i="1"/>
  <c r="E15" i="1"/>
  <c r="D16" i="1"/>
  <c r="H16" i="1" s="1"/>
  <c r="D17" i="1"/>
  <c r="H17" i="1" s="1"/>
  <c r="D18" i="1"/>
  <c r="H18" i="1" s="1"/>
  <c r="D19" i="1"/>
  <c r="D15" i="1"/>
  <c r="E29" i="1" l="1"/>
  <c r="J48" i="1" s="1"/>
  <c r="H15" i="1"/>
  <c r="G15" i="1"/>
  <c r="J15" i="1" s="1"/>
  <c r="H19" i="1"/>
  <c r="J7" i="8"/>
  <c r="J9" i="8" s="1"/>
  <c r="J11" i="8" s="1"/>
  <c r="I9" i="8"/>
  <c r="I11" i="8" s="1"/>
  <c r="G17" i="1"/>
  <c r="J17" i="1" s="1"/>
  <c r="G19" i="1"/>
  <c r="J19" i="1" s="1"/>
  <c r="G16" i="1"/>
  <c r="J16" i="1" s="1"/>
  <c r="C36" i="1"/>
  <c r="G18" i="1"/>
  <c r="J18" i="1" s="1"/>
  <c r="C38" i="1" l="1"/>
  <c r="D36" i="1" s="1"/>
  <c r="H22" i="1"/>
  <c r="H21" i="1"/>
  <c r="E36" i="1" s="1"/>
  <c r="G21" i="1"/>
  <c r="G22" i="1"/>
  <c r="J49" i="1" l="1"/>
  <c r="D38" i="1"/>
  <c r="E38" i="1" s="1"/>
  <c r="E37" i="1" s="1"/>
  <c r="J46" i="1" s="1"/>
  <c r="D37" i="1"/>
  <c r="D40" i="1" s="1"/>
  <c r="J22" i="1"/>
  <c r="J35" i="1" s="1"/>
  <c r="J21" i="1"/>
  <c r="E40" i="1" l="1"/>
  <c r="J36" i="1" l="1"/>
  <c r="J38" i="1" s="1"/>
  <c r="J29" i="1" s="1"/>
  <c r="J30" i="1" s="1"/>
  <c r="J45" i="1" s="1"/>
  <c r="J51" i="1" s="1"/>
  <c r="C18" i="8" s="1"/>
  <c r="C26" i="8" l="1"/>
  <c r="I13" i="8"/>
  <c r="I14" i="8" s="1"/>
  <c r="F13" i="8"/>
  <c r="F14" i="8" s="1"/>
  <c r="G13" i="8"/>
  <c r="G14" i="8" s="1"/>
  <c r="H13" i="8"/>
  <c r="H14" i="8" s="1"/>
  <c r="J13" i="8"/>
  <c r="J14" i="8" s="1"/>
  <c r="C30" i="8" s="1"/>
  <c r="C31" i="8" l="1"/>
  <c r="C32" i="8" s="1"/>
  <c r="C36" i="8" s="1"/>
  <c r="C39" i="8" s="1"/>
  <c r="C42" i="8" s="1"/>
  <c r="E29" i="8" l="1"/>
  <c r="E2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<sst xmlns="http://schemas.openxmlformats.org/spreadsheetml/2006/main" count="369" uniqueCount="275">
  <si>
    <t>Weighted Average Cost of Capital</t>
  </si>
  <si>
    <t>All figures are in the INR otherwise</t>
  </si>
  <si>
    <t>Peer Comps</t>
  </si>
  <si>
    <t>Name of the Comp</t>
  </si>
  <si>
    <t>Country</t>
  </si>
  <si>
    <t>Total Debt</t>
  </si>
  <si>
    <t>Total Equity</t>
  </si>
  <si>
    <t>Debt/</t>
  </si>
  <si>
    <t>Equity</t>
  </si>
  <si>
    <t>Capital</t>
  </si>
  <si>
    <t>S.No.</t>
  </si>
  <si>
    <t>Name</t>
  </si>
  <si>
    <t>Debt / Eq</t>
  </si>
  <si>
    <t>TCS</t>
  </si>
  <si>
    <t>Infosys</t>
  </si>
  <si>
    <t>HCL Technologies</t>
  </si>
  <si>
    <t>Wipro</t>
  </si>
  <si>
    <t>Tech Mahindra</t>
  </si>
  <si>
    <t>CMP Rs.</t>
  </si>
  <si>
    <t>Mar Cap Rs.Cr.</t>
  </si>
  <si>
    <t>Debt Rs.Cr.</t>
  </si>
  <si>
    <t>India</t>
  </si>
  <si>
    <t>Average</t>
  </si>
  <si>
    <t>Median</t>
  </si>
  <si>
    <t>Cost of Debt</t>
  </si>
  <si>
    <t>Cost of Equity</t>
  </si>
  <si>
    <t>Pre Tax Cost of Debt</t>
  </si>
  <si>
    <t>Tax Rate</t>
  </si>
  <si>
    <t>Post Tax Cost of Debt</t>
  </si>
  <si>
    <t>Risk Free Return</t>
  </si>
  <si>
    <t>Equity Risk Premium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</si>
  <si>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</si>
  <si>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Return on Market</t>
  </si>
  <si>
    <t>Year</t>
  </si>
  <si>
    <t>Annual</t>
  </si>
  <si>
    <t>Average Return</t>
  </si>
  <si>
    <t>Dividend Yield</t>
  </si>
  <si>
    <t>Total Market Returns</t>
  </si>
  <si>
    <t>Capital Structure</t>
  </si>
  <si>
    <t>Levered Beta</t>
  </si>
  <si>
    <t>Market Capitalisation</t>
  </si>
  <si>
    <t>Total Capital</t>
  </si>
  <si>
    <t>Debt/Equity</t>
  </si>
  <si>
    <t>Current</t>
  </si>
  <si>
    <t>Target</t>
  </si>
  <si>
    <t>Comps Median Unlevered Beta</t>
  </si>
  <si>
    <t>Target Debt/Equity</t>
  </si>
  <si>
    <t>Equity Weight</t>
  </si>
  <si>
    <t>Debt Weight</t>
  </si>
  <si>
    <t>WACC</t>
  </si>
  <si>
    <t xml:space="preserve">  </t>
  </si>
  <si>
    <t>Levered</t>
  </si>
  <si>
    <t xml:space="preserve">Unlevered </t>
  </si>
  <si>
    <r>
      <t>Tax Rate</t>
    </r>
    <r>
      <rPr>
        <b/>
        <vertAlign val="superscript"/>
        <sz val="11"/>
        <color theme="1"/>
        <rFont val="Calibri"/>
        <family val="2"/>
      </rPr>
      <t xml:space="preserve"> 1</t>
    </r>
  </si>
  <si>
    <r>
      <t xml:space="preserve">Beta </t>
    </r>
    <r>
      <rPr>
        <b/>
        <vertAlign val="superscript"/>
        <sz val="11"/>
        <color theme="1"/>
        <rFont val="Calibri"/>
        <family val="2"/>
      </rPr>
      <t xml:space="preserve"> 2</t>
    </r>
  </si>
  <si>
    <r>
      <t xml:space="preserve">Beta </t>
    </r>
    <r>
      <rPr>
        <b/>
        <vertAlign val="superscript"/>
        <sz val="11"/>
        <color theme="1"/>
        <rFont val="Calibri"/>
        <family val="2"/>
      </rPr>
      <t>3</t>
    </r>
  </si>
  <si>
    <t>Net Cash Flow</t>
  </si>
  <si>
    <t>Cash From Financing Activiies</t>
  </si>
  <si>
    <t>Other financing items</t>
  </si>
  <si>
    <t>Financial liabilities</t>
  </si>
  <si>
    <t>Dividends paid</t>
  </si>
  <si>
    <t>Repayment of borrowings</t>
  </si>
  <si>
    <t>Proceeds from shares</t>
  </si>
  <si>
    <t>Financing Activities</t>
  </si>
  <si>
    <t>Cash From Investing Activities</t>
  </si>
  <si>
    <t>Other investing items</t>
  </si>
  <si>
    <t>Inter Corporate Deposit</t>
  </si>
  <si>
    <t>Acquisition of companies</t>
  </si>
  <si>
    <t>Dividends received</t>
  </si>
  <si>
    <t>Interest received</t>
  </si>
  <si>
    <t>Investments sold</t>
  </si>
  <si>
    <t>Investments purchased</t>
  </si>
  <si>
    <t>Fixed assets purchased</t>
  </si>
  <si>
    <t>Investing Activities</t>
  </si>
  <si>
    <t>Cash From Operating Activities</t>
  </si>
  <si>
    <t>Direct taxes</t>
  </si>
  <si>
    <t>Working capital changes</t>
  </si>
  <si>
    <t>Other WC items</t>
  </si>
  <si>
    <t>Payables</t>
  </si>
  <si>
    <t>Inventory</t>
  </si>
  <si>
    <t>Receivables</t>
  </si>
  <si>
    <t>Profit from operations</t>
  </si>
  <si>
    <t>Operating Activities</t>
  </si>
  <si>
    <t>Cash Flow Statement</t>
  </si>
  <si>
    <t>#</t>
  </si>
  <si>
    <t>Check</t>
  </si>
  <si>
    <t>Total Asset</t>
  </si>
  <si>
    <t>Total Current Asset</t>
  </si>
  <si>
    <t>Cash &amp; Bank</t>
  </si>
  <si>
    <t>Total Non Current Asset</t>
  </si>
  <si>
    <t>Other Assets</t>
  </si>
  <si>
    <t>Investments</t>
  </si>
  <si>
    <t>Capital Work in Progress</t>
  </si>
  <si>
    <t>Fixed Aseet Net Block</t>
  </si>
  <si>
    <t>Total Liabilities</t>
  </si>
  <si>
    <t>Other Liabilities</t>
  </si>
  <si>
    <t>Borrowings</t>
  </si>
  <si>
    <t>Reserves</t>
  </si>
  <si>
    <t>Equity Share Capital</t>
  </si>
  <si>
    <t>Balance Sheet</t>
  </si>
  <si>
    <t>Retained Earnings</t>
  </si>
  <si>
    <t>Dividend Payout Ratio</t>
  </si>
  <si>
    <t>DPS</t>
  </si>
  <si>
    <t>EPS Growth</t>
  </si>
  <si>
    <t>EPS</t>
  </si>
  <si>
    <t>No. of Equity Shares</t>
  </si>
  <si>
    <t>Net Margin</t>
  </si>
  <si>
    <t>Net Profit</t>
  </si>
  <si>
    <t>Effective Tax Rate</t>
  </si>
  <si>
    <t>Tax</t>
  </si>
  <si>
    <t>EBT Margin</t>
  </si>
  <si>
    <t>EBT</t>
  </si>
  <si>
    <t>Depreciation % Sales</t>
  </si>
  <si>
    <t>Depreciation</t>
  </si>
  <si>
    <t>Interest % Sales</t>
  </si>
  <si>
    <t>Interest</t>
  </si>
  <si>
    <t>EBITDA Margin</t>
  </si>
  <si>
    <t>EBITDA</t>
  </si>
  <si>
    <t>S&amp;G Exp %</t>
  </si>
  <si>
    <t>Selling &amp; General Exp</t>
  </si>
  <si>
    <t>Gross Margin</t>
  </si>
  <si>
    <t>Gross Profit</t>
  </si>
  <si>
    <t>COGS % Sales</t>
  </si>
  <si>
    <t>COGS</t>
  </si>
  <si>
    <t>Sales Growth%</t>
  </si>
  <si>
    <t>Sales</t>
  </si>
  <si>
    <t>Income Statement</t>
  </si>
  <si>
    <t>LTM</t>
  </si>
  <si>
    <t>Years</t>
  </si>
  <si>
    <t>Equity Capital</t>
  </si>
  <si>
    <t>Borrowings -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</si>
  <si>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</si>
  <si>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</si>
  <si>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</si>
  <si>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</si>
  <si>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</si>
  <si>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</si>
  <si>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</si>
  <si>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</si>
  <si>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</si>
  <si>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</si>
  <si>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</si>
  <si>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</si>
  <si>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</si>
  <si>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</si>
  <si>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</si>
  <si>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</si>
  <si>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</si>
  <si>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</si>
  <si>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</si>
  <si>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</si>
  <si>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Trade receivables</t>
  </si>
  <si>
    <t>Cash Equivalents</t>
  </si>
  <si>
    <t>Loans n Advances</t>
  </si>
  <si>
    <t>Other asset items</t>
  </si>
  <si>
    <t>Total Assets</t>
  </si>
  <si>
    <t>Particulars</t>
  </si>
  <si>
    <t>Net Block</t>
  </si>
  <si>
    <t>Calculation of ROIC</t>
  </si>
  <si>
    <t>Current Assets</t>
  </si>
  <si>
    <t>Total 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</si>
  <si>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</si>
  <si>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</si>
  <si>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</si>
  <si>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</si>
  <si>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</si>
  <si>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</si>
  <si>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</si>
  <si>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</si>
  <si>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</t>
  </si>
  <si>
    <t>Net Capex</t>
  </si>
  <si>
    <t>Cash from Operating Activity -</t>
  </si>
  <si>
    <t>Loans Advances</t>
  </si>
  <si>
    <t>Cash from Investing Activity -</t>
  </si>
  <si>
    <t>Inter corporate deposits</t>
  </si>
  <si>
    <t>Cash from Financing Activity -</t>
  </si>
  <si>
    <t>Changes in Working Capital</t>
  </si>
  <si>
    <t>Marginal Tax Rate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</si>
  <si>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</si>
  <si>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</si>
  <si>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</si>
  <si>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</si>
  <si>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</si>
  <si>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</si>
  <si>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</si>
  <si>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Adjusted Equity Shares in Cr</t>
  </si>
  <si>
    <t>DERIVED:</t>
  </si>
  <si>
    <t>PRICE: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</si>
  <si>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</si>
  <si>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</si>
  <si>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</si>
  <si>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</si>
  <si>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</si>
  <si>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</si>
  <si>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</si>
  <si>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Total</t>
  </si>
  <si>
    <t>BALANCE SHEET</t>
  </si>
  <si>
    <t>Operating Profit</t>
  </si>
  <si>
    <t>Net profit</t>
  </si>
  <si>
    <t>Profit before tax</t>
  </si>
  <si>
    <t>Other Income</t>
  </si>
  <si>
    <t>Expenses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</si>
  <si>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</si>
  <si>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</si>
  <si>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</si>
  <si>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</si>
  <si>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</si>
  <si>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</si>
  <si>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</si>
  <si>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</si>
  <si>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</si>
  <si>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</si>
  <si>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</si>
  <si>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</si>
  <si>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</si>
  <si>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</si>
  <si>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</si>
  <si>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</si>
  <si>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</si>
  <si>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</si>
  <si>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INFOSYS LTD</t>
  </si>
  <si>
    <t>COMPANY NAME</t>
  </si>
  <si>
    <t>Calculaton of PV of FCFF</t>
  </si>
  <si>
    <t>Less:Reinvestment Rate</t>
  </si>
  <si>
    <t>FCFF</t>
  </si>
  <si>
    <t>Mid Year Convention</t>
  </si>
  <si>
    <t>Discounting Factor</t>
  </si>
  <si>
    <t>PV of FCFF</t>
  </si>
  <si>
    <t>Expected Growth Rate</t>
  </si>
  <si>
    <t>Terminal Growth</t>
  </si>
  <si>
    <t>Calculation of Terminal Value</t>
  </si>
  <si>
    <t>FCFF (n+1)</t>
  </si>
  <si>
    <t>Terminal Growth Rate</t>
  </si>
  <si>
    <t>Terminal Value</t>
  </si>
  <si>
    <t>Calculation of Equity Value</t>
  </si>
  <si>
    <t>PV of Terminal Value</t>
  </si>
  <si>
    <t>Value of operating Asset</t>
  </si>
  <si>
    <t>Add:Cash</t>
  </si>
  <si>
    <t>Less:Debt</t>
  </si>
  <si>
    <t>Value of Equity</t>
  </si>
  <si>
    <t>No. of Shares</t>
  </si>
  <si>
    <t>Equity Value Per Share</t>
  </si>
  <si>
    <t>Share Price</t>
  </si>
  <si>
    <t>Discount/Premium</t>
  </si>
  <si>
    <t xml:space="preserve">Normalised Tax Rate </t>
  </si>
  <si>
    <t>Sensitivity Analysis</t>
  </si>
  <si>
    <t xml:space="preserve"> </t>
  </si>
  <si>
    <t>Sales Growth</t>
  </si>
  <si>
    <t>EBITDA Growth</t>
  </si>
  <si>
    <t>EBT Growth</t>
  </si>
  <si>
    <t>Net Profit Growth</t>
  </si>
  <si>
    <t>Dividend Growth</t>
  </si>
  <si>
    <t>EBIT Margin</t>
  </si>
  <si>
    <t>Net Profit Margin</t>
  </si>
  <si>
    <t>S&amp;G Exp%</t>
  </si>
  <si>
    <t>Operating Income %Sales</t>
  </si>
  <si>
    <t>Depreciation% Sales</t>
  </si>
  <si>
    <t>Return on Capital Employed</t>
  </si>
  <si>
    <t>Return on Equity%</t>
  </si>
  <si>
    <t>Self Sustain Growth Rate</t>
  </si>
  <si>
    <t>Interest Coverage Ratio</t>
  </si>
  <si>
    <t>Debtor Turnover Ratio</t>
  </si>
  <si>
    <t>Creditor Turnover Ratio</t>
  </si>
  <si>
    <t>Fixed Asset Turnover Ratio</t>
  </si>
  <si>
    <t>Inventory Turnover Ratio</t>
  </si>
  <si>
    <t>Capital Turnover Ratio</t>
  </si>
  <si>
    <t>Debtors Days</t>
  </si>
  <si>
    <t>Payable Days</t>
  </si>
  <si>
    <t>Cash Conversion Cycle</t>
  </si>
  <si>
    <t>(In days)</t>
  </si>
  <si>
    <t>Inventory Days</t>
  </si>
  <si>
    <t>CFO/Sales</t>
  </si>
  <si>
    <t>CFO/Total Asset</t>
  </si>
  <si>
    <t>CFO/Total Debt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</si>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</sst>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 * #,##0.00_ ;_ * \-#,##0.00_ ;_ * &quot;-&quot;??_ ;_ @_ "/>
    <numFmt numFmtId="164" formatCode="&quot;₹&quot;\ #,##0.00;&quot;₹&quot;\ \(#,##0.00\);\ \-"/>
    <numFmt numFmtId="165" formatCode="#,##0.0;\(#,##0.0\);\-"/>
    <numFmt numFmtId="166" formatCode="_(* #,##0.00_);_(* \(#,##0.00\);_(* &quot;-&quot;??_);_(@_)"/>
    <numFmt numFmtId="167" formatCode="[$-409]mmm\-yy;@"/>
    <numFmt numFmtId="168" formatCode="mmm/yy&quot;A&quot;"/>
    <numFmt numFmtId="169" formatCode="mmm/yy&quot;F&quot;"/>
    <numFmt numFmtId="170" formatCode="0.00&quot;x&quot;"/>
    <numFmt numFmtId="171" formatCode="0.0\x"/>
    <numFmt numFmtId="172" formatCode="0\ &quot;days&quot;"/>
  </numFmts>
  <fonts count="20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212529"/>
      <name val="Calibri"/>
      <family val="2"/>
      <scheme val="minor"/>
    </font>
    <font>
      <b/>
      <vertAlign val="superscript"/>
      <sz val="11"/>
      <color theme="1"/>
      <name val="Calibri"/>
      <family val="2"/>
    </font>
    <font>
      <sz val="11"/>
      <color rgb="FF0000FF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3" tint="0.7999816888943144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</font>
    <font>
      <b/>
      <i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rgb="FF002060"/>
      </top>
      <bottom style="medium">
        <color rgb="FF002060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6" fillId="10" borderId="0" applyNumberFormat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44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0" fontId="1" fillId="4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0" fontId="0" fillId="0" borderId="2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2" borderId="0" xfId="0" applyFont="1" applyFill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3" borderId="0" xfId="0" applyFont="1" applyFill="1" applyAlignment="1">
      <alignment horizontal="right" vertical="center" wrapText="1"/>
    </xf>
    <xf numFmtId="2" fontId="0" fillId="0" borderId="2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9" fontId="0" fillId="0" borderId="3" xfId="1" applyFont="1" applyBorder="1" applyAlignment="1">
      <alignment horizontal="right"/>
    </xf>
    <xf numFmtId="9" fontId="0" fillId="0" borderId="3" xfId="0" applyNumberFormat="1" applyBorder="1" applyAlignment="1">
      <alignment horizontal="right"/>
    </xf>
    <xf numFmtId="10" fontId="0" fillId="0" borderId="3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right"/>
    </xf>
    <xf numFmtId="10" fontId="1" fillId="5" borderId="0" xfId="0" applyNumberFormat="1" applyFont="1" applyFill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0" fontId="8" fillId="0" borderId="0" xfId="1" applyNumberFormat="1" applyFont="1" applyAlignment="1">
      <alignment horizontal="right"/>
    </xf>
    <xf numFmtId="0" fontId="10" fillId="0" borderId="0" xfId="2"/>
    <xf numFmtId="164" fontId="11" fillId="0" borderId="0" xfId="2" applyNumberFormat="1" applyFont="1"/>
    <xf numFmtId="0" fontId="11" fillId="0" borderId="0" xfId="2" applyFont="1"/>
    <xf numFmtId="164" fontId="10" fillId="0" borderId="0" xfId="2" applyNumberFormat="1"/>
    <xf numFmtId="0" fontId="10" fillId="6" borderId="0" xfId="2" applyFill="1"/>
    <xf numFmtId="0" fontId="11" fillId="6" borderId="0" xfId="2" applyFont="1" applyFill="1"/>
    <xf numFmtId="0" fontId="12" fillId="0" borderId="0" xfId="2" applyFont="1"/>
    <xf numFmtId="10" fontId="0" fillId="0" borderId="0" xfId="3" applyNumberFormat="1" applyFont="1"/>
    <xf numFmtId="10" fontId="13" fillId="0" borderId="0" xfId="3" applyNumberFormat="1" applyFont="1"/>
    <xf numFmtId="0" fontId="13" fillId="0" borderId="0" xfId="2" applyFont="1"/>
    <xf numFmtId="17" fontId="0" fillId="0" borderId="0" xfId="0" applyNumberFormat="1"/>
    <xf numFmtId="3" fontId="0" fillId="0" borderId="0" xfId="0" applyNumberFormat="1"/>
    <xf numFmtId="17" fontId="9" fillId="7" borderId="0" xfId="0" applyNumberFormat="1" applyFont="1" applyFill="1"/>
    <xf numFmtId="0" fontId="9" fillId="7" borderId="0" xfId="0" applyFont="1" applyFill="1"/>
    <xf numFmtId="0" fontId="9" fillId="8" borderId="0" xfId="0" applyFont="1" applyFill="1"/>
    <xf numFmtId="17" fontId="9" fillId="8" borderId="0" xfId="0" applyNumberFormat="1" applyFont="1" applyFill="1"/>
    <xf numFmtId="0" fontId="0" fillId="8" borderId="0" xfId="0" applyFill="1"/>
    <xf numFmtId="3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0" fontId="1" fillId="9" borderId="0" xfId="0" applyFont="1" applyFill="1"/>
    <xf numFmtId="10" fontId="1" fillId="9" borderId="0" xfId="0" applyNumberFormat="1" applyFont="1" applyFill="1"/>
    <xf numFmtId="165" fontId="1" fillId="0" borderId="4" xfId="0" applyNumberFormat="1" applyFont="1" applyBorder="1"/>
    <xf numFmtId="165" fontId="0" fillId="0" borderId="4" xfId="0" applyNumberFormat="1" applyBorder="1"/>
    <xf numFmtId="165" fontId="0" fillId="0" borderId="2" xfId="0" applyNumberFormat="1" applyBorder="1"/>
    <xf numFmtId="165" fontId="1" fillId="0" borderId="5" xfId="0" applyNumberFormat="1" applyFont="1" applyBorder="1"/>
    <xf numFmtId="165" fontId="1" fillId="0" borderId="1" xfId="0" applyNumberFormat="1" applyFont="1" applyBorder="1"/>
    <xf numFmtId="165" fontId="0" fillId="0" borderId="1" xfId="0" applyNumberFormat="1" applyBorder="1"/>
    <xf numFmtId="0" fontId="0" fillId="0" borderId="4" xfId="0" applyBorder="1"/>
    <xf numFmtId="0" fontId="0" fillId="0" borderId="2" xfId="0" applyBorder="1"/>
    <xf numFmtId="0" fontId="1" fillId="0" borderId="5" xfId="0" applyFont="1" applyBorder="1"/>
    <xf numFmtId="0" fontId="1" fillId="0" borderId="6" xfId="0" applyFont="1" applyBorder="1"/>
    <xf numFmtId="10" fontId="1" fillId="0" borderId="6" xfId="1" applyNumberFormat="1" applyFont="1" applyBorder="1"/>
    <xf numFmtId="165" fontId="0" fillId="0" borderId="4" xfId="1" applyNumberFormat="1" applyFont="1" applyBorder="1"/>
    <xf numFmtId="10" fontId="0" fillId="0" borderId="4" xfId="0" applyNumberFormat="1" applyBorder="1"/>
    <xf numFmtId="10" fontId="1" fillId="0" borderId="6" xfId="0" applyNumberFormat="1" applyFont="1" applyBorder="1"/>
    <xf numFmtId="10" fontId="0" fillId="0" borderId="4" xfId="1" applyNumberFormat="1" applyFont="1" applyBorder="1"/>
    <xf numFmtId="43" fontId="0" fillId="0" borderId="0" xfId="4" applyFont="1" applyBorder="1"/>
    <xf numFmtId="166" fontId="0" fillId="0" borderId="0" xfId="4" applyNumberFormat="1" applyFont="1" applyBorder="1"/>
    <xf numFmtId="43" fontId="11" fillId="0" borderId="0" xfId="4" applyFont="1" applyBorder="1"/>
    <xf numFmtId="43" fontId="10" fillId="0" borderId="0" xfId="4" applyFont="1" applyBorder="1"/>
    <xf numFmtId="167" fontId="15" fillId="0" borderId="0" xfId="4" applyNumberFormat="1" applyFont="1" applyFill="1" applyBorder="1"/>
    <xf numFmtId="167" fontId="14" fillId="11" borderId="0" xfId="2" applyNumberFormat="1" applyFont="1" applyFill="1" applyAlignment="1">
      <alignment horizontal="center"/>
    </xf>
    <xf numFmtId="167" fontId="14" fillId="11" borderId="0" xfId="4" applyNumberFormat="1" applyFont="1" applyFill="1" applyBorder="1"/>
    <xf numFmtId="169" fontId="9" fillId="7" borderId="0" xfId="0" applyNumberFormat="1" applyFont="1" applyFill="1"/>
    <xf numFmtId="0" fontId="0" fillId="9" borderId="0" xfId="0" applyFill="1"/>
    <xf numFmtId="10" fontId="0" fillId="9" borderId="0" xfId="0" applyNumberFormat="1" applyFill="1"/>
    <xf numFmtId="10" fontId="5" fillId="9" borderId="0" xfId="1" applyNumberFormat="1" applyFont="1" applyFill="1"/>
    <xf numFmtId="0" fontId="1" fillId="0" borderId="7" xfId="0" applyFont="1" applyBorder="1"/>
    <xf numFmtId="2" fontId="0" fillId="0" borderId="0" xfId="0" applyNumberFormat="1"/>
    <xf numFmtId="43" fontId="0" fillId="0" borderId="0" xfId="0" applyNumberFormat="1"/>
    <xf numFmtId="170" fontId="0" fillId="0" borderId="0" xfId="1" applyNumberFormat="1" applyFont="1"/>
    <xf numFmtId="0" fontId="1" fillId="0" borderId="8" xfId="0" applyFont="1" applyBorder="1"/>
    <xf numFmtId="43" fontId="1" fillId="0" borderId="8" xfId="0" applyNumberFormat="1" applyFont="1" applyBorder="1"/>
    <xf numFmtId="2" fontId="0" fillId="0" borderId="4" xfId="0" applyNumberFormat="1" applyBorder="1"/>
    <xf numFmtId="2" fontId="1" fillId="0" borderId="7" xfId="0" applyNumberFormat="1" applyFont="1" applyBorder="1"/>
    <xf numFmtId="0" fontId="9" fillId="0" borderId="0" xfId="0" applyFont="1"/>
    <xf numFmtId="10" fontId="5" fillId="0" borderId="4" xfId="1" applyNumberFormat="1" applyFont="1" applyBorder="1"/>
    <xf numFmtId="10" fontId="1" fillId="0" borderId="0" xfId="0" applyNumberFormat="1" applyFont="1"/>
    <xf numFmtId="2" fontId="1" fillId="0" borderId="0" xfId="0" applyNumberFormat="1" applyFont="1"/>
    <xf numFmtId="2" fontId="18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4" fontId="0" fillId="0" borderId="0" xfId="0" applyNumberFormat="1"/>
    <xf numFmtId="168" fontId="9" fillId="7" borderId="0" xfId="0" applyNumberFormat="1" applyFont="1" applyFill="1" applyAlignment="1">
      <alignment horizontal="right"/>
    </xf>
    <xf numFmtId="2" fontId="0" fillId="0" borderId="4" xfId="0" applyNumberFormat="1" applyBorder="1" applyAlignment="1">
      <alignment horizontal="right"/>
    </xf>
    <xf numFmtId="10" fontId="5" fillId="0" borderId="4" xfId="1" applyNumberFormat="1" applyFont="1" applyBorder="1" applyAlignment="1">
      <alignment horizontal="right"/>
    </xf>
    <xf numFmtId="10" fontId="0" fillId="0" borderId="4" xfId="1" applyNumberFormat="1" applyFont="1" applyBorder="1" applyAlignment="1">
      <alignment horizontal="right"/>
    </xf>
    <xf numFmtId="2" fontId="1" fillId="0" borderId="7" xfId="0" applyNumberFormat="1" applyFont="1" applyBorder="1" applyAlignment="1">
      <alignment horizontal="right"/>
    </xf>
    <xf numFmtId="10" fontId="1" fillId="0" borderId="0" xfId="0" applyNumberFormat="1" applyFont="1" applyAlignment="1">
      <alignment horizontal="right"/>
    </xf>
    <xf numFmtId="169" fontId="9" fillId="7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43" fontId="18" fillId="0" borderId="0" xfId="0" applyNumberFormat="1" applyFont="1" applyAlignment="1">
      <alignment horizontal="left"/>
    </xf>
    <xf numFmtId="10" fontId="1" fillId="0" borderId="0" xfId="1" applyNumberFormat="1" applyFont="1" applyAlignment="1">
      <alignment horizontal="left"/>
    </xf>
    <xf numFmtId="4" fontId="11" fillId="12" borderId="0" xfId="0" applyNumberFormat="1" applyFont="1" applyFill="1"/>
    <xf numFmtId="2" fontId="1" fillId="9" borderId="0" xfId="0" applyNumberFormat="1" applyFont="1" applyFill="1" applyAlignment="1">
      <alignment horizontal="right"/>
    </xf>
    <xf numFmtId="0" fontId="14" fillId="7" borderId="0" xfId="2" applyFont="1" applyFill="1"/>
    <xf numFmtId="17" fontId="14" fillId="7" borderId="0" xfId="2" applyNumberFormat="1" applyFont="1" applyFill="1"/>
    <xf numFmtId="17" fontId="14" fillId="7" borderId="0" xfId="2" applyNumberFormat="1" applyFont="1" applyFill="1" applyAlignment="1">
      <alignment horizontal="right"/>
    </xf>
    <xf numFmtId="17" fontId="0" fillId="7" borderId="0" xfId="0" applyNumberFormat="1" applyFill="1"/>
    <xf numFmtId="0" fontId="19" fillId="0" borderId="0" xfId="0" applyFont="1"/>
    <xf numFmtId="0" fontId="0" fillId="7" borderId="0" xfId="0" applyFill="1" applyAlignment="1">
      <alignment horizontal="right"/>
    </xf>
    <xf numFmtId="0" fontId="9" fillId="7" borderId="0" xfId="0" applyFont="1" applyFill="1" applyAlignment="1">
      <alignment horizontal="right"/>
    </xf>
    <xf numFmtId="171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17" fontId="9" fillId="7" borderId="0" xfId="0" applyNumberFormat="1" applyFont="1" applyFill="1" applyAlignment="1">
      <alignment horizontal="right"/>
    </xf>
    <xf numFmtId="171" fontId="0" fillId="0" borderId="0" xfId="1" applyNumberFormat="1" applyFont="1" applyAlignment="1">
      <alignment horizontal="right"/>
    </xf>
    <xf numFmtId="43" fontId="17" fillId="0" borderId="0" xfId="6" applyNumberFormat="1" applyBorder="1" applyAlignment="1" applyProtection="1">
      <alignment horizontal="center"/>
    </xf>
    <xf numFmtId="43" fontId="14" fillId="10" borderId="0" xfId="5" applyNumberFormat="1" applyFont="1" applyBorder="1" applyAlignment="1">
      <alignment horizontal="center"/>
    </xf>
    <xf numFmtId="0" fontId="14" fillId="7" borderId="0" xfId="2" applyFont="1" applyFill="1" applyAlignment="1">
      <alignment horizontal="center"/>
    </xf>
    <xf numFmtId="43" fontId="9" fillId="7" borderId="0" xfId="0" applyNumberFormat="1" applyFont="1" applyFill="1" applyAlignment="1">
      <alignment horizontal="center"/>
    </xf>
    <xf numFmtId="169" fontId="9" fillId="7" borderId="0" xfId="0" applyNumberFormat="1" applyFont="1" applyFill="1" applyAlignment="1">
      <alignment horizontal="center"/>
    </xf>
    <xf numFmtId="0" fontId="1" fillId="0" borderId="1" xfId="0" applyFont="1" applyBorder="1" applyAlignment="1"/>
    <xf numFmtId="0" fontId="0" fillId="0" borderId="0" xfId="0" applyAlignment="1"/>
    <xf numFmtId="10" fontId="5" fillId="0" borderId="0" xfId="0" applyNumberFormat="1" applyFont="1" applyAlignment="1"/>
    <xf numFmtId="0" fontId="14" fillId="7" borderId="0" xfId="0" applyFont="1" applyFill="1" applyAlignment="1">
      <alignment horizontal="left"/>
    </xf>
    <xf numFmtId="0" fontId="14" fillId="7" borderId="0" xfId="0" applyFont="1" applyFill="1"/>
  </cellXfs>
  <cellStyles count="7">
    <cellStyle name="Accent6 2" xfId="5" xr:uid="{8F1B0130-E507-4C3F-ACBF-79D40375127B}"/>
    <cellStyle name="Comma 2" xfId="4" xr:uid="{B9566F34-0822-4F2F-BBB8-140A9DC28B1E}"/>
    <cellStyle name="Hyperlink" xfId="6" builtinId="8"/>
    <cellStyle name="Normal" xfId="0" builtinId="0"/>
    <cellStyle name="Normal 2" xfId="2" xr:uid="{D0DA9C8A-D4A5-49A7-90A6-DA45AEE3FED6}"/>
    <cellStyle name="Percent" xfId="1" builtinId="5"/>
    <cellStyle name="Percent 2" xfId="3" xr:uid="{7222BFCB-4D1F-4C97-818F-A76FAC757D75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1" defaultTableStyle="TableStyleMedium2" defaultPivotStyle="PivotStyleLight16">
    <tableStyle name="Invisible" pivot="0" table="0" count="0" xr9:uid="{D8BE829E-030D-4748-B144-2BB60FD5B4A3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osys%20Forecas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&gt;"/>
      <sheetName val="Forecasting"/>
      <sheetName val="Data"/>
      <sheetName val="Cash Flow Data"/>
    </sheetNames>
    <sheetDataSet>
      <sheetData sheetId="0"/>
      <sheetData sheetId="1"/>
      <sheetData sheetId="2"/>
      <sheetData sheetId="3">
        <row r="4">
          <cell r="E4">
            <v>19340</v>
          </cell>
          <cell r="F4">
            <v>19963</v>
          </cell>
          <cell r="G4">
            <v>22126</v>
          </cell>
          <cell r="H4">
            <v>23920</v>
          </cell>
          <cell r="I4">
            <v>28845</v>
          </cell>
          <cell r="J4">
            <v>32921</v>
          </cell>
          <cell r="K4">
            <v>37605</v>
          </cell>
          <cell r="L4">
            <v>39523</v>
          </cell>
          <cell r="M4">
            <v>41591</v>
          </cell>
          <cell r="N4">
            <v>45273</v>
          </cell>
        </row>
        <row r="5">
          <cell r="E5">
            <v>-1743</v>
          </cell>
          <cell r="F5">
            <v>-1523</v>
          </cell>
          <cell r="G5">
            <v>-2881</v>
          </cell>
          <cell r="H5">
            <v>-3861</v>
          </cell>
          <cell r="I5">
            <v>-1835</v>
          </cell>
          <cell r="J5">
            <v>-7937</v>
          </cell>
          <cell r="K5">
            <v>-7076</v>
          </cell>
          <cell r="L5">
            <v>-2667</v>
          </cell>
          <cell r="M5">
            <v>-1769</v>
          </cell>
          <cell r="N5">
            <v>-5177</v>
          </cell>
        </row>
        <row r="6">
          <cell r="E6">
            <v>-19</v>
          </cell>
          <cell r="F6">
            <v>328</v>
          </cell>
          <cell r="G6">
            <v>916</v>
          </cell>
          <cell r="H6">
            <v>-373</v>
          </cell>
          <cell r="I6">
            <v>-245</v>
          </cell>
          <cell r="J6">
            <v>1489</v>
          </cell>
          <cell r="K6">
            <v>-279</v>
          </cell>
          <cell r="L6">
            <v>91</v>
          </cell>
          <cell r="M6">
            <v>176</v>
          </cell>
          <cell r="N6">
            <v>-26</v>
          </cell>
        </row>
        <row r="7"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-534</v>
          </cell>
          <cell r="J7">
            <v>-1914</v>
          </cell>
          <cell r="K7">
            <v>-3108</v>
          </cell>
          <cell r="L7">
            <v>-1172</v>
          </cell>
          <cell r="M7">
            <v>-1024</v>
          </cell>
          <cell r="N7">
            <v>-2645</v>
          </cell>
        </row>
        <row r="8">
          <cell r="E8">
            <v>-394</v>
          </cell>
          <cell r="F8">
            <v>1279</v>
          </cell>
          <cell r="G8">
            <v>1512</v>
          </cell>
          <cell r="H8">
            <v>1867</v>
          </cell>
          <cell r="I8">
            <v>3382</v>
          </cell>
          <cell r="J8">
            <v>6938</v>
          </cell>
          <cell r="K8">
            <v>4119</v>
          </cell>
          <cell r="L8">
            <v>-1334</v>
          </cell>
          <cell r="M8">
            <v>2322</v>
          </cell>
          <cell r="N8">
            <v>5209</v>
          </cell>
        </row>
        <row r="9">
          <cell r="E9">
            <v>-2156</v>
          </cell>
          <cell r="F9">
            <v>84</v>
          </cell>
          <cell r="G9">
            <v>-453</v>
          </cell>
          <cell r="H9">
            <v>-2367</v>
          </cell>
          <cell r="I9">
            <v>768</v>
          </cell>
          <cell r="J9">
            <v>-1424</v>
          </cell>
          <cell r="K9">
            <v>-6344</v>
          </cell>
          <cell r="L9">
            <v>-5082</v>
          </cell>
          <cell r="M9">
            <v>-295</v>
          </cell>
          <cell r="N9">
            <v>-2639</v>
          </cell>
        </row>
        <row r="10">
          <cell r="E10">
            <v>-5653</v>
          </cell>
          <cell r="F10">
            <v>-6829</v>
          </cell>
          <cell r="G10">
            <v>-6832</v>
          </cell>
          <cell r="H10">
            <v>-4550</v>
          </cell>
          <cell r="I10">
            <v>-6389</v>
          </cell>
          <cell r="J10">
            <v>-7612</v>
          </cell>
          <cell r="K10">
            <v>-8794</v>
          </cell>
          <cell r="L10">
            <v>-9231</v>
          </cell>
          <cell r="M10">
            <v>-5602</v>
          </cell>
          <cell r="N10">
            <v>-8648</v>
          </cell>
        </row>
        <row r="12">
          <cell r="E12">
            <v>-2760</v>
          </cell>
          <cell r="F12">
            <v>-1998</v>
          </cell>
          <cell r="G12">
            <v>-2445</v>
          </cell>
          <cell r="H12">
            <v>-3307</v>
          </cell>
          <cell r="I12">
            <v>-2107</v>
          </cell>
          <cell r="J12">
            <v>-2161</v>
          </cell>
          <cell r="K12">
            <v>-2579</v>
          </cell>
          <cell r="L12">
            <v>-2201</v>
          </cell>
          <cell r="M12">
            <v>-2237</v>
          </cell>
          <cell r="N12">
            <v>-2727</v>
          </cell>
        </row>
        <row r="13">
          <cell r="E13">
            <v>-66410</v>
          </cell>
          <cell r="F13">
            <v>-69159</v>
          </cell>
          <cell r="G13">
            <v>-79410</v>
          </cell>
          <cell r="H13">
            <v>-37482</v>
          </cell>
          <cell r="I13">
            <v>-46738</v>
          </cell>
          <cell r="J13">
            <v>-59951</v>
          </cell>
          <cell r="K13">
            <v>-75800</v>
          </cell>
          <cell r="L13">
            <v>-78092</v>
          </cell>
          <cell r="M13">
            <v>-82742</v>
          </cell>
          <cell r="N13">
            <v>-82617</v>
          </cell>
        </row>
        <row r="14">
          <cell r="E14">
            <v>52048</v>
          </cell>
          <cell r="F14">
            <v>74003</v>
          </cell>
          <cell r="G14">
            <v>78098</v>
          </cell>
          <cell r="H14">
            <v>38861</v>
          </cell>
          <cell r="I14">
            <v>40381</v>
          </cell>
          <cell r="J14">
            <v>57356</v>
          </cell>
          <cell r="K14">
            <v>76722</v>
          </cell>
          <cell r="L14">
            <v>72930</v>
          </cell>
          <cell r="M14">
            <v>84877</v>
          </cell>
          <cell r="N14">
            <v>89699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E16">
            <v>2753</v>
          </cell>
          <cell r="F16">
            <v>1768</v>
          </cell>
          <cell r="G16">
            <v>1557</v>
          </cell>
          <cell r="H16">
            <v>1929</v>
          </cell>
          <cell r="I16">
            <v>1418</v>
          </cell>
          <cell r="J16">
            <v>1898</v>
          </cell>
          <cell r="K16">
            <v>1525</v>
          </cell>
          <cell r="L16">
            <v>1768</v>
          </cell>
          <cell r="M16">
            <v>2040</v>
          </cell>
          <cell r="N16">
            <v>2713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E18">
            <v>-164</v>
          </cell>
          <cell r="F18">
            <v>-130</v>
          </cell>
          <cell r="G18">
            <v>-24</v>
          </cell>
          <cell r="H18">
            <v>-108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E19">
            <v>-131</v>
          </cell>
          <cell r="F19">
            <v>49</v>
          </cell>
          <cell r="G19">
            <v>1592</v>
          </cell>
          <cell r="H19">
            <v>-224</v>
          </cell>
          <cell r="I19">
            <v>-327</v>
          </cell>
          <cell r="J19">
            <v>-3627</v>
          </cell>
          <cell r="K19">
            <v>-939</v>
          </cell>
          <cell r="L19">
            <v>502</v>
          </cell>
          <cell r="M19">
            <v>-3802</v>
          </cell>
          <cell r="N19">
            <v>-3522</v>
          </cell>
        </row>
        <row r="21">
          <cell r="E21">
            <v>0</v>
          </cell>
          <cell r="F21">
            <v>5</v>
          </cell>
          <cell r="G21">
            <v>6</v>
          </cell>
          <cell r="H21">
            <v>6</v>
          </cell>
          <cell r="I21">
            <v>15</v>
          </cell>
          <cell r="J21">
            <v>21</v>
          </cell>
          <cell r="K21">
            <v>35</v>
          </cell>
          <cell r="L21">
            <v>5</v>
          </cell>
          <cell r="M21">
            <v>6</v>
          </cell>
          <cell r="N21">
            <v>2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-985</v>
          </cell>
          <cell r="N22">
            <v>0</v>
          </cell>
        </row>
        <row r="23">
          <cell r="E23">
            <v>-6939</v>
          </cell>
          <cell r="F23">
            <v>-7464</v>
          </cell>
          <cell r="G23">
            <v>-13705</v>
          </cell>
          <cell r="H23">
            <v>-9548</v>
          </cell>
          <cell r="I23">
            <v>-9137</v>
          </cell>
          <cell r="J23">
            <v>-12731</v>
          </cell>
          <cell r="K23">
            <v>-13653</v>
          </cell>
          <cell r="L23">
            <v>-14731</v>
          </cell>
          <cell r="M23">
            <v>-20289</v>
          </cell>
          <cell r="N23">
            <v>-18656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-571</v>
          </cell>
          <cell r="I24">
            <v>-698</v>
          </cell>
          <cell r="J24">
            <v>-915</v>
          </cell>
          <cell r="K24">
            <v>-1231</v>
          </cell>
          <cell r="L24">
            <v>-2024</v>
          </cell>
          <cell r="M24">
            <v>-2355</v>
          </cell>
          <cell r="N24">
            <v>-2824</v>
          </cell>
        </row>
        <row r="25">
          <cell r="E25">
            <v>0</v>
          </cell>
          <cell r="F25">
            <v>-13046</v>
          </cell>
          <cell r="G25">
            <v>-813</v>
          </cell>
          <cell r="H25">
            <v>-7478</v>
          </cell>
          <cell r="I25">
            <v>34</v>
          </cell>
          <cell r="J25">
            <v>-11017</v>
          </cell>
          <cell r="K25">
            <v>-11846</v>
          </cell>
          <cell r="L25">
            <v>-754</v>
          </cell>
          <cell r="M25">
            <v>-538</v>
          </cell>
          <cell r="N25">
            <v>-18308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DC08-1D3B-41C0-9ACC-A9FFD2689D9D}"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83" sqref="B83"/>
    </sheetView>
  </sheetViews>
  <sheetFormatPr defaultColWidth="8.81640625" defaultRowHeight="14.5" x14ac:dyDescent="0.35"/>
  <cols>
    <col min="1" max="1" width="27.6328125" style="85" bestFit="1" customWidth="1"/>
    <col min="2" max="11" width="13.453125" style="85" bestFit="1" customWidth="1"/>
    <col min="12" max="16384" width="8.81640625" style="85"/>
  </cols>
  <sheetData>
    <row r="1" spans="1:11" s="87" customFormat="1" x14ac:dyDescent="0.35">
      <c r="A1" s="87" t="s">
        <v>221</v>
      </c>
      <c r="B1" s="87" t="s">
        <v>220</v>
      </c>
      <c r="E1" s="134" t="str">
        <f>IF(B2&lt;&gt;B3, "A NEW VERSION OF THE WORKSHEET IS AVAILABLE", "")</f>
        <v/>
      </c>
      <c r="F1" s="134"/>
      <c r="G1" s="134"/>
      <c r="H1" s="134"/>
      <c r="I1" s="134"/>
      <c r="J1" s="134"/>
      <c r="K1" s="134"/>
    </row>
    <row r="2" spans="1:11" x14ac:dyDescent="0.35">
      <c r="A2" s="87" t="s">
        <v>219</v>
      </c>
      <c r="B2" s="85">
        <v>2.1</v>
      </c>
      <c r="E2" s="135" t="s">
        <v>218</v>
      </c>
      <c r="F2" s="135"/>
      <c r="G2" s="135"/>
      <c r="H2" s="135"/>
      <c r="I2" s="135"/>
      <c r="J2" s="135"/>
      <c r="K2" s="135"/>
    </row>
    <row r="3" spans="1:11" x14ac:dyDescent="0.35">
      <c r="A3" s="87" t="s">
        <v>217</v>
      </c>
      <c r="B3" s="85">
        <v>2.1</v>
      </c>
    </row>
    <row r="4" spans="1:11" x14ac:dyDescent="0.35">
      <c r="A4" s="87"/>
    </row>
    <row r="5" spans="1:11" x14ac:dyDescent="0.35">
      <c r="A5" s="87" t="s">
        <v>216</v>
      </c>
    </row>
    <row r="6" spans="1:11" x14ac:dyDescent="0.35">
      <c r="A6" s="85" t="s">
        <v>215</v>
      </c>
      <c r="B6" s="85">
        <f>IF(B9&gt;0, B9/B8, 0)</f>
        <v>405.81468250257183</v>
      </c>
    </row>
    <row r="7" spans="1:11" x14ac:dyDescent="0.35">
      <c r="A7" s="85" t="s">
        <v>214</v>
      </c>
      <c r="B7" s="48">
        <v>5</v>
      </c>
    </row>
    <row r="8" spans="1:11" x14ac:dyDescent="0.35">
      <c r="A8" s="85" t="s">
        <v>213</v>
      </c>
      <c r="B8" s="48">
        <v>1069.3</v>
      </c>
    </row>
    <row r="9" spans="1:11" x14ac:dyDescent="0.35">
      <c r="A9" s="85" t="s">
        <v>212</v>
      </c>
      <c r="B9" s="48">
        <v>433937.64</v>
      </c>
    </row>
    <row r="15" spans="1:11" x14ac:dyDescent="0.35">
      <c r="A15" s="87" t="s">
        <v>211</v>
      </c>
    </row>
    <row r="16" spans="1:11" s="89" customFormat="1" x14ac:dyDescent="0.35">
      <c r="A16" s="91" t="s">
        <v>191</v>
      </c>
      <c r="B16" s="90">
        <v>42825</v>
      </c>
      <c r="C16" s="90">
        <v>43190</v>
      </c>
      <c r="D16" s="90">
        <v>43555</v>
      </c>
      <c r="E16" s="90">
        <v>43921</v>
      </c>
      <c r="F16" s="90">
        <v>44286</v>
      </c>
      <c r="G16" s="90">
        <v>44651</v>
      </c>
      <c r="H16" s="90">
        <v>45016</v>
      </c>
      <c r="I16" s="90">
        <v>45382</v>
      </c>
      <c r="J16" s="90">
        <v>45747</v>
      </c>
      <c r="K16" s="90">
        <v>46112</v>
      </c>
    </row>
    <row r="17" spans="1:11" s="88" customFormat="1" x14ac:dyDescent="0.35">
      <c r="A17" s="88" t="s">
        <v>125</v>
      </c>
      <c r="B17" s="48">
        <v>68484</v>
      </c>
      <c r="C17" s="48">
        <v>70522</v>
      </c>
      <c r="D17" s="48">
        <v>82675</v>
      </c>
      <c r="E17" s="48">
        <v>90791</v>
      </c>
      <c r="F17" s="48">
        <v>100472</v>
      </c>
      <c r="G17" s="48">
        <v>121641</v>
      </c>
      <c r="H17" s="48">
        <v>146767</v>
      </c>
      <c r="I17" s="48">
        <v>153670</v>
      </c>
      <c r="J17" s="48">
        <v>162990</v>
      </c>
      <c r="K17" s="48">
        <v>178650</v>
      </c>
    </row>
    <row r="18" spans="1:11" s="88" customFormat="1" x14ac:dyDescent="0.35">
      <c r="A18" s="85" t="s">
        <v>210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19" spans="1:11" s="88" customFormat="1" x14ac:dyDescent="0.35">
      <c r="A19" s="85" t="s">
        <v>209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</row>
    <row r="20" spans="1:11" s="88" customFormat="1" x14ac:dyDescent="0.35">
      <c r="A20" s="85" t="s">
        <v>208</v>
      </c>
      <c r="B20" s="48">
        <v>228</v>
      </c>
      <c r="C20" s="48">
        <v>207</v>
      </c>
      <c r="D20" s="48">
        <v>221</v>
      </c>
      <c r="E20" s="48">
        <v>229</v>
      </c>
      <c r="F20" s="48">
        <v>143</v>
      </c>
      <c r="G20" s="48">
        <v>132</v>
      </c>
      <c r="H20" s="48">
        <v>176</v>
      </c>
      <c r="I20" s="48">
        <v>199</v>
      </c>
      <c r="J20" s="48">
        <v>222</v>
      </c>
      <c r="K20" s="48">
        <v>223</v>
      </c>
    </row>
    <row r="21" spans="1:11" s="88" customFormat="1" x14ac:dyDescent="0.35">
      <c r="A21" s="85" t="s">
        <v>207</v>
      </c>
      <c r="B21" s="48">
        <v>6712</v>
      </c>
      <c r="C21" s="48">
        <v>7286</v>
      </c>
      <c r="D21" s="48">
        <v>9902</v>
      </c>
      <c r="E21" s="48">
        <v>11086</v>
      </c>
      <c r="F21" s="48">
        <v>12800</v>
      </c>
      <c r="G21" s="48">
        <v>20690</v>
      </c>
      <c r="H21" s="48">
        <v>26330</v>
      </c>
      <c r="I21" s="48">
        <v>27195</v>
      </c>
      <c r="J21" s="48">
        <v>30395</v>
      </c>
      <c r="K21" s="48">
        <v>32922</v>
      </c>
    </row>
    <row r="22" spans="1:11" s="88" customFormat="1" x14ac:dyDescent="0.35">
      <c r="A22" s="85" t="s">
        <v>206</v>
      </c>
      <c r="B22" s="48">
        <v>37669</v>
      </c>
      <c r="C22" s="48">
        <v>38902</v>
      </c>
      <c r="D22" s="48">
        <v>45323</v>
      </c>
      <c r="E22" s="48">
        <v>50895</v>
      </c>
      <c r="F22" s="48">
        <v>55547</v>
      </c>
      <c r="G22" s="48">
        <v>63997</v>
      </c>
      <c r="H22" s="48">
        <v>78374</v>
      </c>
      <c r="I22" s="48">
        <v>82636</v>
      </c>
      <c r="J22" s="48">
        <v>85968</v>
      </c>
      <c r="K22" s="48">
        <v>95112</v>
      </c>
    </row>
    <row r="23" spans="1:11" s="88" customFormat="1" x14ac:dyDescent="0.35">
      <c r="A23" s="85" t="s">
        <v>205</v>
      </c>
      <c r="B23" s="48">
        <v>4584</v>
      </c>
      <c r="C23" s="48">
        <v>4585</v>
      </c>
      <c r="D23" s="48">
        <v>5553</v>
      </c>
      <c r="E23" s="48">
        <v>5375</v>
      </c>
      <c r="F23" s="48">
        <v>3194</v>
      </c>
      <c r="G23" s="48">
        <v>4305</v>
      </c>
      <c r="H23" s="48">
        <v>5300</v>
      </c>
      <c r="I23" s="48">
        <v>5705</v>
      </c>
      <c r="J23" s="48">
        <v>6039</v>
      </c>
      <c r="K23" s="48">
        <v>6784</v>
      </c>
    </row>
    <row r="24" spans="1:11" s="88" customFormat="1" x14ac:dyDescent="0.35">
      <c r="A24" s="85" t="s">
        <v>204</v>
      </c>
      <c r="B24" s="48">
        <v>687</v>
      </c>
      <c r="C24" s="48">
        <v>720</v>
      </c>
      <c r="D24" s="48">
        <v>1506</v>
      </c>
      <c r="E24" s="48">
        <v>939</v>
      </c>
      <c r="F24" s="48">
        <v>899</v>
      </c>
      <c r="G24" s="48">
        <v>1026</v>
      </c>
      <c r="H24" s="48">
        <v>1457</v>
      </c>
      <c r="I24" s="48">
        <v>1510</v>
      </c>
      <c r="J24" s="48">
        <v>1130</v>
      </c>
      <c r="K24" s="48">
        <v>1329</v>
      </c>
    </row>
    <row r="25" spans="1:11" s="88" customFormat="1" x14ac:dyDescent="0.35">
      <c r="A25" s="88" t="s">
        <v>200</v>
      </c>
      <c r="B25" s="48">
        <v>3050</v>
      </c>
      <c r="C25" s="48">
        <v>3311</v>
      </c>
      <c r="D25" s="48">
        <v>2882</v>
      </c>
      <c r="E25" s="48">
        <v>2803</v>
      </c>
      <c r="F25" s="48">
        <v>2201</v>
      </c>
      <c r="G25" s="48">
        <v>2295</v>
      </c>
      <c r="H25" s="48">
        <v>2701</v>
      </c>
      <c r="I25" s="48">
        <v>4711</v>
      </c>
      <c r="J25" s="48">
        <v>3600</v>
      </c>
      <c r="K25" s="48">
        <v>3033</v>
      </c>
    </row>
    <row r="26" spans="1:11" s="88" customFormat="1" x14ac:dyDescent="0.35">
      <c r="A26" s="88" t="s">
        <v>113</v>
      </c>
      <c r="B26" s="48">
        <v>1703</v>
      </c>
      <c r="C26" s="48">
        <v>1863</v>
      </c>
      <c r="D26" s="48">
        <v>2011</v>
      </c>
      <c r="E26" s="48">
        <v>2893</v>
      </c>
      <c r="F26" s="48">
        <v>3267</v>
      </c>
      <c r="G26" s="48">
        <v>3476</v>
      </c>
      <c r="H26" s="48">
        <v>4225</v>
      </c>
      <c r="I26" s="48">
        <v>4678</v>
      </c>
      <c r="J26" s="48">
        <v>4812</v>
      </c>
      <c r="K26" s="48">
        <v>4902</v>
      </c>
    </row>
    <row r="27" spans="1:11" s="88" customFormat="1" x14ac:dyDescent="0.35">
      <c r="A27" s="88" t="s">
        <v>115</v>
      </c>
      <c r="B27" s="48"/>
      <c r="C27" s="48"/>
      <c r="D27" s="48"/>
      <c r="E27" s="48">
        <v>170</v>
      </c>
      <c r="F27" s="48">
        <v>195</v>
      </c>
      <c r="G27" s="48">
        <v>200</v>
      </c>
      <c r="H27" s="48">
        <v>284</v>
      </c>
      <c r="I27" s="48">
        <v>470</v>
      </c>
      <c r="J27" s="48">
        <v>416</v>
      </c>
      <c r="K27" s="48">
        <v>416</v>
      </c>
    </row>
    <row r="28" spans="1:11" s="88" customFormat="1" x14ac:dyDescent="0.35">
      <c r="A28" s="88" t="s">
        <v>199</v>
      </c>
      <c r="B28" s="48">
        <v>19951</v>
      </c>
      <c r="C28" s="48">
        <v>20270</v>
      </c>
      <c r="D28" s="48">
        <v>21041</v>
      </c>
      <c r="E28" s="48">
        <v>22007</v>
      </c>
      <c r="F28" s="48">
        <v>26628</v>
      </c>
      <c r="G28" s="48">
        <v>30110</v>
      </c>
      <c r="H28" s="48">
        <v>33322</v>
      </c>
      <c r="I28" s="48">
        <v>35988</v>
      </c>
      <c r="J28" s="48">
        <v>37608</v>
      </c>
      <c r="K28" s="48">
        <v>39995</v>
      </c>
    </row>
    <row r="29" spans="1:11" s="88" customFormat="1" x14ac:dyDescent="0.35">
      <c r="A29" s="88" t="s">
        <v>109</v>
      </c>
      <c r="B29" s="48">
        <v>5598</v>
      </c>
      <c r="C29" s="48">
        <v>4241</v>
      </c>
      <c r="D29" s="48">
        <v>5631</v>
      </c>
      <c r="E29" s="48">
        <v>5368</v>
      </c>
      <c r="F29" s="48">
        <v>7205</v>
      </c>
      <c r="G29" s="48">
        <v>7964</v>
      </c>
      <c r="H29" s="48">
        <v>9214</v>
      </c>
      <c r="I29" s="48">
        <v>9740</v>
      </c>
      <c r="J29" s="48">
        <v>10858</v>
      </c>
      <c r="K29" s="48">
        <v>10521</v>
      </c>
    </row>
    <row r="30" spans="1:11" s="88" customFormat="1" x14ac:dyDescent="0.35">
      <c r="A30" s="88" t="s">
        <v>198</v>
      </c>
      <c r="B30" s="48">
        <v>14353</v>
      </c>
      <c r="C30" s="48">
        <v>16029</v>
      </c>
      <c r="D30" s="48">
        <v>15404</v>
      </c>
      <c r="E30" s="48">
        <v>16594</v>
      </c>
      <c r="F30" s="48">
        <v>19351</v>
      </c>
      <c r="G30" s="48">
        <v>22110</v>
      </c>
      <c r="H30" s="48">
        <v>24095</v>
      </c>
      <c r="I30" s="48">
        <v>26233</v>
      </c>
      <c r="J30" s="48">
        <v>26713</v>
      </c>
      <c r="K30" s="48">
        <v>29440</v>
      </c>
    </row>
    <row r="31" spans="1:11" s="88" customFormat="1" x14ac:dyDescent="0.35">
      <c r="A31" s="88" t="s">
        <v>203</v>
      </c>
      <c r="B31" s="48">
        <v>5891.6</v>
      </c>
      <c r="C31" s="48">
        <v>9465.6</v>
      </c>
      <c r="D31" s="48">
        <v>9222.5</v>
      </c>
      <c r="E31" s="48">
        <v>7427</v>
      </c>
      <c r="F31" s="48">
        <v>11469.6</v>
      </c>
      <c r="G31" s="48">
        <v>13007.6</v>
      </c>
      <c r="H31" s="48">
        <v>14069.2</v>
      </c>
      <c r="I31" s="48">
        <v>19053.2</v>
      </c>
      <c r="J31" s="48">
        <v>17827.8</v>
      </c>
      <c r="K31" s="48">
        <v>19430.400000000001</v>
      </c>
    </row>
    <row r="32" spans="1:11" s="88" customFormat="1" x14ac:dyDescent="0.35"/>
    <row r="33" spans="1:11" x14ac:dyDescent="0.35">
      <c r="A33" s="88"/>
    </row>
    <row r="34" spans="1:11" x14ac:dyDescent="0.35">
      <c r="A34" s="88"/>
    </row>
    <row r="35" spans="1:11" x14ac:dyDescent="0.35">
      <c r="A35" s="88"/>
    </row>
    <row r="36" spans="1:11" x14ac:dyDescent="0.35">
      <c r="A36" s="88"/>
    </row>
    <row r="37" spans="1:11" x14ac:dyDescent="0.35">
      <c r="A37" s="88"/>
    </row>
    <row r="38" spans="1:11" x14ac:dyDescent="0.35">
      <c r="A38" s="88"/>
    </row>
    <row r="39" spans="1:11" x14ac:dyDescent="0.35">
      <c r="A39" s="88"/>
    </row>
    <row r="40" spans="1:11" x14ac:dyDescent="0.35">
      <c r="A40" s="87" t="s">
        <v>202</v>
      </c>
    </row>
    <row r="41" spans="1:11" s="89" customFormat="1" x14ac:dyDescent="0.35">
      <c r="A41" s="91" t="s">
        <v>191</v>
      </c>
      <c r="B41" s="90">
        <v>45291</v>
      </c>
      <c r="C41" s="90">
        <v>45382</v>
      </c>
      <c r="D41" s="90">
        <v>45473</v>
      </c>
      <c r="E41" s="90">
        <v>45565</v>
      </c>
      <c r="F41" s="90">
        <v>45657</v>
      </c>
      <c r="G41" s="90">
        <v>45747</v>
      </c>
      <c r="H41" s="90">
        <v>45838</v>
      </c>
      <c r="I41" s="90">
        <v>45930</v>
      </c>
      <c r="J41" s="90">
        <v>46022</v>
      </c>
      <c r="K41" s="90">
        <v>46112</v>
      </c>
    </row>
    <row r="42" spans="1:11" s="88" customFormat="1" x14ac:dyDescent="0.35">
      <c r="A42" s="88" t="s">
        <v>125</v>
      </c>
      <c r="B42" s="48">
        <v>38821</v>
      </c>
      <c r="C42" s="48">
        <v>37923</v>
      </c>
      <c r="D42" s="48">
        <v>39315</v>
      </c>
      <c r="E42" s="48">
        <v>40986</v>
      </c>
      <c r="F42" s="48">
        <v>41764</v>
      </c>
      <c r="G42" s="48">
        <v>40925</v>
      </c>
      <c r="H42" s="48">
        <v>42279</v>
      </c>
      <c r="I42" s="48">
        <v>44490</v>
      </c>
      <c r="J42" s="48">
        <v>45479</v>
      </c>
      <c r="K42" s="48">
        <v>46402</v>
      </c>
    </row>
    <row r="43" spans="1:11" s="88" customFormat="1" x14ac:dyDescent="0.35">
      <c r="A43" s="88" t="s">
        <v>201</v>
      </c>
      <c r="B43" s="48">
        <v>29684</v>
      </c>
      <c r="C43" s="48">
        <v>29139</v>
      </c>
      <c r="D43" s="48">
        <v>29878</v>
      </c>
      <c r="E43" s="48">
        <v>31177</v>
      </c>
      <c r="F43" s="48">
        <v>31649</v>
      </c>
      <c r="G43" s="48">
        <v>31051</v>
      </c>
      <c r="H43" s="48">
        <v>32336</v>
      </c>
      <c r="I43" s="48">
        <v>33955</v>
      </c>
      <c r="J43" s="48">
        <v>34845</v>
      </c>
      <c r="K43" s="48">
        <v>35235</v>
      </c>
    </row>
    <row r="44" spans="1:11" s="88" customFormat="1" x14ac:dyDescent="0.35">
      <c r="A44" s="88" t="s">
        <v>200</v>
      </c>
      <c r="B44" s="48">
        <v>789</v>
      </c>
      <c r="C44" s="48">
        <v>2729</v>
      </c>
      <c r="D44" s="48">
        <v>838</v>
      </c>
      <c r="E44" s="48">
        <v>712</v>
      </c>
      <c r="F44" s="48">
        <v>859</v>
      </c>
      <c r="G44" s="48">
        <v>1190</v>
      </c>
      <c r="H44" s="48">
        <v>1042</v>
      </c>
      <c r="I44" s="48">
        <v>982</v>
      </c>
      <c r="J44" s="48">
        <v>-150</v>
      </c>
      <c r="K44" s="48">
        <v>1159</v>
      </c>
    </row>
    <row r="45" spans="1:11" s="88" customFormat="1" x14ac:dyDescent="0.35">
      <c r="A45" s="88" t="s">
        <v>113</v>
      </c>
      <c r="B45" s="48">
        <v>1176</v>
      </c>
      <c r="C45" s="48">
        <v>1163</v>
      </c>
      <c r="D45" s="48">
        <v>1149</v>
      </c>
      <c r="E45" s="48">
        <v>1160</v>
      </c>
      <c r="F45" s="48">
        <v>1203</v>
      </c>
      <c r="G45" s="48">
        <v>1299</v>
      </c>
      <c r="H45" s="48">
        <v>1140</v>
      </c>
      <c r="I45" s="48">
        <v>1182</v>
      </c>
      <c r="J45" s="48">
        <v>1155</v>
      </c>
      <c r="K45" s="48">
        <v>1424</v>
      </c>
    </row>
    <row r="46" spans="1:11" s="88" customFormat="1" x14ac:dyDescent="0.35">
      <c r="A46" s="88" t="s">
        <v>115</v>
      </c>
      <c r="B46" s="48">
        <v>131</v>
      </c>
      <c r="C46" s="48">
        <v>110</v>
      </c>
      <c r="D46" s="48">
        <v>105</v>
      </c>
      <c r="E46" s="48">
        <v>108</v>
      </c>
      <c r="F46" s="48">
        <v>101</v>
      </c>
      <c r="G46" s="48">
        <v>102</v>
      </c>
      <c r="H46" s="48">
        <v>105</v>
      </c>
      <c r="I46" s="48">
        <v>106</v>
      </c>
      <c r="J46" s="48">
        <v>100</v>
      </c>
      <c r="K46" s="48">
        <v>105</v>
      </c>
    </row>
    <row r="47" spans="1:11" s="88" customFormat="1" x14ac:dyDescent="0.35">
      <c r="A47" s="88" t="s">
        <v>199</v>
      </c>
      <c r="B47" s="48">
        <v>8619</v>
      </c>
      <c r="C47" s="48">
        <v>10240</v>
      </c>
      <c r="D47" s="48">
        <v>9021</v>
      </c>
      <c r="E47" s="48">
        <v>9253</v>
      </c>
      <c r="F47" s="48">
        <v>9670</v>
      </c>
      <c r="G47" s="48">
        <v>9663</v>
      </c>
      <c r="H47" s="48">
        <v>9740</v>
      </c>
      <c r="I47" s="48">
        <v>10229</v>
      </c>
      <c r="J47" s="48">
        <v>9229</v>
      </c>
      <c r="K47" s="48">
        <v>10797</v>
      </c>
    </row>
    <row r="48" spans="1:11" s="88" customFormat="1" x14ac:dyDescent="0.35">
      <c r="A48" s="88" t="s">
        <v>109</v>
      </c>
      <c r="B48" s="48">
        <v>2506</v>
      </c>
      <c r="C48" s="48">
        <v>2265</v>
      </c>
      <c r="D48" s="48">
        <v>2647</v>
      </c>
      <c r="E48" s="48">
        <v>2737</v>
      </c>
      <c r="F48" s="48">
        <v>2848</v>
      </c>
      <c r="G48" s="48">
        <v>2625</v>
      </c>
      <c r="H48" s="48">
        <v>2816</v>
      </c>
      <c r="I48" s="48">
        <v>2854</v>
      </c>
      <c r="J48" s="48">
        <v>2563</v>
      </c>
      <c r="K48" s="48">
        <v>2288</v>
      </c>
    </row>
    <row r="49" spans="1:11" s="88" customFormat="1" x14ac:dyDescent="0.35">
      <c r="A49" s="88" t="s">
        <v>198</v>
      </c>
      <c r="B49" s="48">
        <v>6106</v>
      </c>
      <c r="C49" s="48">
        <v>7969</v>
      </c>
      <c r="D49" s="48">
        <v>6368</v>
      </c>
      <c r="E49" s="48">
        <v>6506</v>
      </c>
      <c r="F49" s="48">
        <v>6806</v>
      </c>
      <c r="G49" s="48">
        <v>7033</v>
      </c>
      <c r="H49" s="48">
        <v>6921</v>
      </c>
      <c r="I49" s="48">
        <v>7364</v>
      </c>
      <c r="J49" s="48">
        <v>6654</v>
      </c>
      <c r="K49" s="48">
        <v>8501</v>
      </c>
    </row>
    <row r="50" spans="1:11" x14ac:dyDescent="0.35">
      <c r="A50" s="88" t="s">
        <v>197</v>
      </c>
      <c r="B50" s="48">
        <v>9137</v>
      </c>
      <c r="C50" s="48">
        <v>8784</v>
      </c>
      <c r="D50" s="48">
        <v>9437</v>
      </c>
      <c r="E50" s="48">
        <v>9809</v>
      </c>
      <c r="F50" s="48">
        <v>10115</v>
      </c>
      <c r="G50" s="48">
        <v>9874</v>
      </c>
      <c r="H50" s="48">
        <v>9943</v>
      </c>
      <c r="I50" s="48">
        <v>10535</v>
      </c>
      <c r="J50" s="48">
        <v>10634</v>
      </c>
      <c r="K50" s="48">
        <v>11167</v>
      </c>
    </row>
    <row r="51" spans="1:11" x14ac:dyDescent="0.35">
      <c r="A51" s="88"/>
    </row>
    <row r="52" spans="1:11" x14ac:dyDescent="0.35">
      <c r="A52" s="88"/>
    </row>
    <row r="53" spans="1:11" x14ac:dyDescent="0.35">
      <c r="A53" s="88"/>
    </row>
    <row r="54" spans="1:11" x14ac:dyDescent="0.35">
      <c r="A54" s="88"/>
    </row>
    <row r="55" spans="1:11" x14ac:dyDescent="0.35">
      <c r="A55" s="87" t="s">
        <v>196</v>
      </c>
    </row>
    <row r="56" spans="1:11" s="89" customFormat="1" x14ac:dyDescent="0.35">
      <c r="A56" s="91" t="s">
        <v>191</v>
      </c>
      <c r="B56" s="90">
        <v>42825</v>
      </c>
      <c r="C56" s="90">
        <v>43190</v>
      </c>
      <c r="D56" s="90">
        <v>43555</v>
      </c>
      <c r="E56" s="90">
        <v>43921</v>
      </c>
      <c r="F56" s="90">
        <v>44286</v>
      </c>
      <c r="G56" s="90">
        <v>44651</v>
      </c>
      <c r="H56" s="90">
        <v>45016</v>
      </c>
      <c r="I56" s="90">
        <v>45382</v>
      </c>
      <c r="J56" s="90">
        <v>45747</v>
      </c>
      <c r="K56" s="90">
        <v>46112</v>
      </c>
    </row>
    <row r="57" spans="1:11" x14ac:dyDescent="0.35">
      <c r="A57" s="88" t="s">
        <v>98</v>
      </c>
      <c r="B57" s="48">
        <v>1144</v>
      </c>
      <c r="C57" s="48">
        <v>1088</v>
      </c>
      <c r="D57" s="48">
        <v>2170</v>
      </c>
      <c r="E57" s="48">
        <v>2122</v>
      </c>
      <c r="F57" s="48">
        <v>2124</v>
      </c>
      <c r="G57" s="48">
        <v>2098</v>
      </c>
      <c r="H57" s="48">
        <v>2069</v>
      </c>
      <c r="I57" s="48">
        <v>2071</v>
      </c>
      <c r="J57" s="48">
        <v>2073</v>
      </c>
      <c r="K57" s="48">
        <v>2024</v>
      </c>
    </row>
    <row r="58" spans="1:11" x14ac:dyDescent="0.35">
      <c r="A58" s="88" t="s">
        <v>97</v>
      </c>
      <c r="B58" s="48">
        <v>67838</v>
      </c>
      <c r="C58" s="48">
        <v>63835</v>
      </c>
      <c r="D58" s="48">
        <v>62778</v>
      </c>
      <c r="E58" s="48">
        <v>63328</v>
      </c>
      <c r="F58" s="48">
        <v>74227</v>
      </c>
      <c r="G58" s="48">
        <v>73252</v>
      </c>
      <c r="H58" s="48">
        <v>73338</v>
      </c>
      <c r="I58" s="48">
        <v>86045</v>
      </c>
      <c r="J58" s="48">
        <v>93745</v>
      </c>
      <c r="K58" s="48">
        <v>90828</v>
      </c>
    </row>
    <row r="59" spans="1:11" x14ac:dyDescent="0.35">
      <c r="A59" s="88" t="s">
        <v>96</v>
      </c>
      <c r="B59" s="48"/>
      <c r="C59" s="48"/>
      <c r="D59" s="48"/>
      <c r="E59" s="48">
        <v>4633</v>
      </c>
      <c r="F59" s="48">
        <v>5325</v>
      </c>
      <c r="G59" s="48">
        <v>5474</v>
      </c>
      <c r="H59" s="48">
        <v>8299</v>
      </c>
      <c r="I59" s="48">
        <v>8359</v>
      </c>
      <c r="J59" s="48">
        <v>8227</v>
      </c>
      <c r="K59" s="48">
        <v>9176</v>
      </c>
    </row>
    <row r="60" spans="1:11" x14ac:dyDescent="0.35">
      <c r="A60" s="88" t="s">
        <v>95</v>
      </c>
      <c r="B60" s="48">
        <v>14166</v>
      </c>
      <c r="C60" s="48">
        <v>14426</v>
      </c>
      <c r="D60" s="48">
        <v>19118</v>
      </c>
      <c r="E60" s="48">
        <v>21717</v>
      </c>
      <c r="F60" s="48">
        <v>25835</v>
      </c>
      <c r="G60" s="48">
        <v>35905</v>
      </c>
      <c r="H60" s="48">
        <v>40890</v>
      </c>
      <c r="I60" s="48">
        <v>39545</v>
      </c>
      <c r="J60" s="48">
        <v>43750</v>
      </c>
      <c r="K60" s="48">
        <v>52260</v>
      </c>
    </row>
    <row r="61" spans="1:11" s="87" customFormat="1" x14ac:dyDescent="0.35">
      <c r="A61" s="87" t="s">
        <v>195</v>
      </c>
      <c r="B61" s="48">
        <v>83148</v>
      </c>
      <c r="C61" s="48">
        <v>79349</v>
      </c>
      <c r="D61" s="48">
        <v>84066</v>
      </c>
      <c r="E61" s="48">
        <v>91800</v>
      </c>
      <c r="F61" s="48">
        <v>107511</v>
      </c>
      <c r="G61" s="48">
        <v>116729</v>
      </c>
      <c r="H61" s="48">
        <v>124596</v>
      </c>
      <c r="I61" s="48">
        <v>136020</v>
      </c>
      <c r="J61" s="48">
        <v>147795</v>
      </c>
      <c r="K61" s="48">
        <v>154288</v>
      </c>
    </row>
    <row r="62" spans="1:11" x14ac:dyDescent="0.35">
      <c r="A62" s="88" t="s">
        <v>157</v>
      </c>
      <c r="B62" s="48">
        <v>14179</v>
      </c>
      <c r="C62" s="48">
        <v>12574</v>
      </c>
      <c r="D62" s="48">
        <v>15710</v>
      </c>
      <c r="E62" s="48">
        <v>23789</v>
      </c>
      <c r="F62" s="48">
        <v>25505</v>
      </c>
      <c r="G62" s="48">
        <v>25800</v>
      </c>
      <c r="H62" s="48">
        <v>29225</v>
      </c>
      <c r="I62" s="48">
        <v>27622</v>
      </c>
      <c r="J62" s="48">
        <v>30961</v>
      </c>
      <c r="K62" s="48">
        <v>33770</v>
      </c>
    </row>
    <row r="63" spans="1:11" x14ac:dyDescent="0.35">
      <c r="A63" s="88" t="s">
        <v>92</v>
      </c>
      <c r="B63" s="48">
        <v>1365</v>
      </c>
      <c r="C63" s="48">
        <v>1606</v>
      </c>
      <c r="D63" s="48">
        <v>1388</v>
      </c>
      <c r="E63" s="48">
        <v>954</v>
      </c>
      <c r="F63" s="48">
        <v>922</v>
      </c>
      <c r="G63" s="48">
        <v>416</v>
      </c>
      <c r="H63" s="48">
        <v>288</v>
      </c>
      <c r="I63" s="48">
        <v>293</v>
      </c>
      <c r="J63" s="48">
        <v>814</v>
      </c>
      <c r="K63" s="48">
        <v>526</v>
      </c>
    </row>
    <row r="64" spans="1:11" x14ac:dyDescent="0.35">
      <c r="A64" s="88" t="s">
        <v>91</v>
      </c>
      <c r="B64" s="48">
        <v>16423</v>
      </c>
      <c r="C64" s="48">
        <v>12163</v>
      </c>
      <c r="D64" s="48">
        <v>11261</v>
      </c>
      <c r="E64" s="48">
        <v>8792</v>
      </c>
      <c r="F64" s="48">
        <v>14205</v>
      </c>
      <c r="G64" s="48">
        <v>20324</v>
      </c>
      <c r="H64" s="48">
        <v>19478</v>
      </c>
      <c r="I64" s="48">
        <v>24623</v>
      </c>
      <c r="J64" s="48">
        <v>23541</v>
      </c>
      <c r="K64" s="48">
        <v>21880</v>
      </c>
    </row>
    <row r="65" spans="1:11" x14ac:dyDescent="0.35">
      <c r="A65" s="88" t="s">
        <v>90</v>
      </c>
      <c r="B65" s="48">
        <v>51181</v>
      </c>
      <c r="C65" s="48">
        <v>53006</v>
      </c>
      <c r="D65" s="48">
        <v>55707</v>
      </c>
      <c r="E65" s="48">
        <v>58265</v>
      </c>
      <c r="F65" s="48">
        <v>66879</v>
      </c>
      <c r="G65" s="48">
        <v>70189</v>
      </c>
      <c r="H65" s="48">
        <v>75605</v>
      </c>
      <c r="I65" s="48">
        <v>83482</v>
      </c>
      <c r="J65" s="48">
        <v>92479</v>
      </c>
      <c r="K65" s="48">
        <v>98112</v>
      </c>
    </row>
    <row r="66" spans="1:11" s="87" customFormat="1" x14ac:dyDescent="0.35">
      <c r="A66" s="87" t="s">
        <v>195</v>
      </c>
      <c r="B66" s="48">
        <v>83148</v>
      </c>
      <c r="C66" s="48">
        <v>79349</v>
      </c>
      <c r="D66" s="48">
        <v>84066</v>
      </c>
      <c r="E66" s="48">
        <v>91800</v>
      </c>
      <c r="F66" s="48">
        <v>107511</v>
      </c>
      <c r="G66" s="48">
        <v>116729</v>
      </c>
      <c r="H66" s="48">
        <v>124596</v>
      </c>
      <c r="I66" s="48">
        <v>136020</v>
      </c>
      <c r="J66" s="48">
        <v>147795</v>
      </c>
      <c r="K66" s="48">
        <v>154288</v>
      </c>
    </row>
    <row r="67" spans="1:11" s="88" customFormat="1" x14ac:dyDescent="0.35">
      <c r="A67" s="88" t="s">
        <v>80</v>
      </c>
      <c r="B67" s="48">
        <v>12322</v>
      </c>
      <c r="C67" s="48">
        <v>13142</v>
      </c>
      <c r="D67" s="48">
        <v>14827</v>
      </c>
      <c r="E67" s="48">
        <v>18487</v>
      </c>
      <c r="F67" s="48">
        <v>19294</v>
      </c>
      <c r="G67" s="48">
        <v>22698</v>
      </c>
      <c r="H67" s="48">
        <v>25424</v>
      </c>
      <c r="I67" s="48">
        <v>30193</v>
      </c>
      <c r="J67" s="48">
        <v>31158</v>
      </c>
      <c r="K67" s="48">
        <v>35234</v>
      </c>
    </row>
    <row r="68" spans="1:11" x14ac:dyDescent="0.35">
      <c r="A68" s="88" t="s">
        <v>79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</row>
    <row r="69" spans="1:11" x14ac:dyDescent="0.35">
      <c r="A69" s="85" t="s">
        <v>88</v>
      </c>
      <c r="B69" s="48">
        <v>22625</v>
      </c>
      <c r="C69" s="48">
        <v>19818</v>
      </c>
      <c r="D69" s="48">
        <v>19568</v>
      </c>
      <c r="E69" s="48">
        <v>18649</v>
      </c>
      <c r="F69" s="48">
        <v>24714</v>
      </c>
      <c r="G69" s="48">
        <v>17472</v>
      </c>
      <c r="H69" s="48">
        <v>12173</v>
      </c>
      <c r="I69" s="48">
        <v>14786</v>
      </c>
      <c r="J69" s="48">
        <v>24455</v>
      </c>
      <c r="K69" s="48">
        <v>22201</v>
      </c>
    </row>
    <row r="70" spans="1:11" x14ac:dyDescent="0.35">
      <c r="A70" s="85" t="s">
        <v>105</v>
      </c>
      <c r="B70" s="48">
        <v>2285655150</v>
      </c>
      <c r="C70" s="48">
        <v>2173312301</v>
      </c>
      <c r="D70" s="48">
        <v>4335954462</v>
      </c>
      <c r="E70" s="48">
        <v>4240753210</v>
      </c>
      <c r="F70" s="48">
        <v>4245146114</v>
      </c>
      <c r="G70" s="48">
        <v>4193012929</v>
      </c>
      <c r="H70" s="48">
        <v>4136387925</v>
      </c>
      <c r="I70" s="48">
        <v>4139950635</v>
      </c>
      <c r="J70" s="48">
        <v>4143607528</v>
      </c>
      <c r="K70" s="48">
        <v>4046940812</v>
      </c>
    </row>
    <row r="71" spans="1:11" x14ac:dyDescent="0.35">
      <c r="A71" s="85" t="s">
        <v>194</v>
      </c>
      <c r="D71" s="48">
        <v>2184191490</v>
      </c>
    </row>
    <row r="72" spans="1:11" x14ac:dyDescent="0.35">
      <c r="A72" s="85" t="s">
        <v>193</v>
      </c>
      <c r="B72" s="48">
        <v>5</v>
      </c>
      <c r="C72" s="48">
        <v>5</v>
      </c>
      <c r="D72" s="48">
        <v>5</v>
      </c>
      <c r="E72" s="48">
        <v>5</v>
      </c>
      <c r="F72" s="48">
        <v>5</v>
      </c>
      <c r="G72" s="48">
        <v>5</v>
      </c>
      <c r="H72" s="48">
        <v>5</v>
      </c>
      <c r="I72" s="48">
        <v>5</v>
      </c>
      <c r="J72" s="48">
        <v>5</v>
      </c>
      <c r="K72" s="48">
        <v>5</v>
      </c>
    </row>
    <row r="74" spans="1:11" x14ac:dyDescent="0.35">
      <c r="A74" s="88"/>
    </row>
    <row r="75" spans="1:11" x14ac:dyDescent="0.35">
      <c r="A75" s="88"/>
    </row>
    <row r="76" spans="1:11" x14ac:dyDescent="0.35">
      <c r="A76" s="88"/>
    </row>
    <row r="77" spans="1:11" x14ac:dyDescent="0.35">
      <c r="A77" s="88"/>
    </row>
    <row r="78" spans="1:11" x14ac:dyDescent="0.35">
      <c r="A78" s="88"/>
    </row>
    <row r="79" spans="1:11" x14ac:dyDescent="0.35">
      <c r="A79" s="88"/>
    </row>
    <row r="80" spans="1:11" x14ac:dyDescent="0.35">
      <c r="A80" s="87" t="s">
        <v>192</v>
      </c>
    </row>
    <row r="81" spans="1:11" s="89" customFormat="1" x14ac:dyDescent="0.35">
      <c r="A81" s="91" t="s">
        <v>191</v>
      </c>
      <c r="B81" s="90">
        <v>42825</v>
      </c>
      <c r="C81" s="90">
        <v>43190</v>
      </c>
      <c r="D81" s="90">
        <v>43555</v>
      </c>
      <c r="E81" s="90">
        <v>43921</v>
      </c>
      <c r="F81" s="90">
        <v>44286</v>
      </c>
      <c r="G81" s="90">
        <v>44651</v>
      </c>
      <c r="H81" s="90">
        <v>45016</v>
      </c>
      <c r="I81" s="90">
        <v>45382</v>
      </c>
      <c r="J81" s="90">
        <v>45747</v>
      </c>
      <c r="K81" s="90">
        <v>46112</v>
      </c>
    </row>
    <row r="82" spans="1:11" s="87" customFormat="1" x14ac:dyDescent="0.35">
      <c r="A82" s="88" t="s">
        <v>190</v>
      </c>
      <c r="B82" s="48">
        <v>11531</v>
      </c>
      <c r="C82" s="48">
        <v>13218</v>
      </c>
      <c r="D82" s="48">
        <v>14841</v>
      </c>
      <c r="E82" s="48">
        <v>17003</v>
      </c>
      <c r="F82" s="48">
        <v>23224</v>
      </c>
      <c r="G82" s="48">
        <v>23885</v>
      </c>
      <c r="H82" s="48">
        <v>22467</v>
      </c>
      <c r="I82" s="48">
        <v>25210</v>
      </c>
      <c r="J82" s="48">
        <v>35694</v>
      </c>
      <c r="K82" s="48">
        <v>33986</v>
      </c>
    </row>
    <row r="83" spans="1:11" s="88" customFormat="1" x14ac:dyDescent="0.35">
      <c r="A83" s="88" t="s">
        <v>189</v>
      </c>
      <c r="B83" s="48">
        <v>-14664</v>
      </c>
      <c r="C83" s="48">
        <v>4533</v>
      </c>
      <c r="D83" s="48">
        <v>-632</v>
      </c>
      <c r="E83" s="48">
        <v>-331</v>
      </c>
      <c r="F83" s="48">
        <v>-7373</v>
      </c>
      <c r="G83" s="48">
        <v>-6485</v>
      </c>
      <c r="H83" s="48">
        <v>-1071</v>
      </c>
      <c r="I83" s="48">
        <v>-5093</v>
      </c>
      <c r="J83" s="48">
        <v>-1864</v>
      </c>
      <c r="K83" s="48">
        <v>3546</v>
      </c>
    </row>
    <row r="84" spans="1:11" s="88" customFormat="1" x14ac:dyDescent="0.35">
      <c r="A84" s="88" t="s">
        <v>188</v>
      </c>
      <c r="B84" s="48">
        <v>-6939</v>
      </c>
      <c r="C84" s="48">
        <v>-20505</v>
      </c>
      <c r="D84" s="48">
        <v>-14512</v>
      </c>
      <c r="E84" s="48">
        <v>-17591</v>
      </c>
      <c r="F84" s="48">
        <v>-9786</v>
      </c>
      <c r="G84" s="48">
        <v>-24642</v>
      </c>
      <c r="H84" s="48">
        <v>-26695</v>
      </c>
      <c r="I84" s="48">
        <v>-17504</v>
      </c>
      <c r="J84" s="48">
        <v>-24161</v>
      </c>
      <c r="K84" s="48">
        <v>-39786</v>
      </c>
    </row>
    <row r="85" spans="1:11" s="87" customFormat="1" x14ac:dyDescent="0.35">
      <c r="A85" s="88" t="s">
        <v>56</v>
      </c>
      <c r="B85" s="48">
        <v>-10072</v>
      </c>
      <c r="C85" s="48">
        <v>-2754</v>
      </c>
      <c r="D85" s="48">
        <v>-303</v>
      </c>
      <c r="E85" s="48">
        <v>-919</v>
      </c>
      <c r="F85" s="48">
        <v>6065</v>
      </c>
      <c r="G85" s="48">
        <v>-7242</v>
      </c>
      <c r="H85" s="48">
        <v>-5299</v>
      </c>
      <c r="I85" s="48">
        <v>2613</v>
      </c>
      <c r="J85" s="48">
        <v>9669</v>
      </c>
      <c r="K85" s="48">
        <v>-2254</v>
      </c>
    </row>
    <row r="86" spans="1:11" x14ac:dyDescent="0.35">
      <c r="A86" s="88"/>
    </row>
    <row r="87" spans="1:11" x14ac:dyDescent="0.35">
      <c r="A87" s="88"/>
    </row>
    <row r="88" spans="1:11" x14ac:dyDescent="0.35">
      <c r="A88" s="88"/>
    </row>
    <row r="89" spans="1:11" x14ac:dyDescent="0.35">
      <c r="A89" s="88"/>
    </row>
    <row r="90" spans="1:11" s="87" customFormat="1" x14ac:dyDescent="0.35">
      <c r="A90" s="87" t="s">
        <v>187</v>
      </c>
      <c r="B90" s="48">
        <v>511.13</v>
      </c>
      <c r="C90" s="48">
        <v>565.9</v>
      </c>
      <c r="D90" s="48">
        <v>743.85</v>
      </c>
      <c r="E90" s="48">
        <v>641.5</v>
      </c>
      <c r="F90" s="48">
        <v>1368.05</v>
      </c>
      <c r="G90" s="48">
        <v>1906.85</v>
      </c>
      <c r="H90" s="48">
        <v>1427.95</v>
      </c>
      <c r="I90" s="48">
        <v>1498.05</v>
      </c>
      <c r="J90" s="48">
        <v>1570.65</v>
      </c>
      <c r="K90" s="48">
        <v>1250.5999999999999</v>
      </c>
    </row>
    <row r="92" spans="1:11" s="87" customFormat="1" x14ac:dyDescent="0.35">
      <c r="A92" s="87" t="s">
        <v>186</v>
      </c>
    </row>
    <row r="93" spans="1:11" x14ac:dyDescent="0.35">
      <c r="A93" s="85" t="s">
        <v>185</v>
      </c>
      <c r="B93" s="86">
        <v>459.39</v>
      </c>
      <c r="C93" s="86">
        <v>436.82</v>
      </c>
      <c r="D93" s="86">
        <v>436.89</v>
      </c>
      <c r="E93" s="86">
        <v>425.9</v>
      </c>
      <c r="F93" s="86">
        <v>426.07</v>
      </c>
      <c r="G93" s="86">
        <v>420.67</v>
      </c>
      <c r="H93" s="86">
        <v>414.86</v>
      </c>
      <c r="I93" s="86">
        <v>415.09</v>
      </c>
      <c r="J93" s="86">
        <v>415.33</v>
      </c>
      <c r="K93" s="86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1D69FE77-C362-448F-93D5-C22BF1B18BB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CD98-7E20-4652-9DAF-1AD9E3EDE596}">
  <dimension ref="A2:N103"/>
  <sheetViews>
    <sheetView showGridLines="0" tabSelected="1" zoomScale="86" zoomScaleNormal="85" workbookViewId="0">
      <pane ySplit="1" topLeftCell="A21" activePane="bottomLeft" state="frozen"/>
      <selection pane="bottomLeft" activeCell="O13" sqref="O13"/>
    </sheetView>
  </sheetViews>
  <sheetFormatPr defaultRowHeight="14.5" x14ac:dyDescent="0.35"/>
  <cols>
    <col min="1" max="1" width="1.81640625" style="48" customWidth="1"/>
    <col min="2" max="2" width="26.81640625" style="48" bestFit="1" customWidth="1"/>
    <col min="3" max="6" width="12.1796875" style="48" bestFit="1" customWidth="1"/>
    <col min="7" max="13" width="12.453125" style="48" bestFit="1" customWidth="1"/>
    <col min="14" max="16384" width="8.7265625" style="48"/>
  </cols>
  <sheetData>
    <row r="2" spans="1:14" x14ac:dyDescent="0.35">
      <c r="B2" s="136" t="str">
        <f>"Historical Financial Statement-"&amp;'Data Sheet'!B1</f>
        <v>Historical Financial Statement-INFOSYS LTD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spans="1:14" x14ac:dyDescent="0.35">
      <c r="B3" s="123" t="s">
        <v>128</v>
      </c>
      <c r="C3" s="124">
        <f>'Data Sheet'!B16</f>
        <v>42825</v>
      </c>
      <c r="D3" s="124">
        <f>'Data Sheet'!C16</f>
        <v>43190</v>
      </c>
      <c r="E3" s="124">
        <f>'Data Sheet'!D16</f>
        <v>43555</v>
      </c>
      <c r="F3" s="124">
        <f>'Data Sheet'!E16</f>
        <v>43921</v>
      </c>
      <c r="G3" s="124">
        <f>'Data Sheet'!F16</f>
        <v>44286</v>
      </c>
      <c r="H3" s="124">
        <f>'Data Sheet'!G16</f>
        <v>44651</v>
      </c>
      <c r="I3" s="124">
        <f>'Data Sheet'!H16</f>
        <v>45016</v>
      </c>
      <c r="J3" s="124">
        <f>'Data Sheet'!I16</f>
        <v>45382</v>
      </c>
      <c r="K3" s="124">
        <f>'Data Sheet'!J16</f>
        <v>45747</v>
      </c>
      <c r="L3" s="124">
        <f>'Data Sheet'!K16</f>
        <v>46112</v>
      </c>
      <c r="M3" s="125" t="s">
        <v>127</v>
      </c>
    </row>
    <row r="4" spans="1:14" x14ac:dyDescent="0.35">
      <c r="A4" s="50" t="s">
        <v>84</v>
      </c>
      <c r="B4" s="53" t="s">
        <v>126</v>
      </c>
      <c r="C4" s="53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4" x14ac:dyDescent="0.35">
      <c r="B5" s="48" t="s">
        <v>125</v>
      </c>
      <c r="C5" s="51">
        <f>IFERROR('Data Sheet'!B17,0)</f>
        <v>68484</v>
      </c>
      <c r="D5" s="51">
        <f>IFERROR('Data Sheet'!C17,0)</f>
        <v>70522</v>
      </c>
      <c r="E5" s="51">
        <f>IFERROR('Data Sheet'!D17,0)</f>
        <v>82675</v>
      </c>
      <c r="F5" s="51">
        <f>IFERROR('Data Sheet'!E17,0)</f>
        <v>90791</v>
      </c>
      <c r="G5" s="51">
        <f>IFERROR('Data Sheet'!F17,0)</f>
        <v>100472</v>
      </c>
      <c r="H5" s="51">
        <f>IFERROR('Data Sheet'!G17,0)</f>
        <v>121641</v>
      </c>
      <c r="I5" s="51">
        <f>IFERROR('Data Sheet'!H17,0)</f>
        <v>146767</v>
      </c>
      <c r="J5" s="51">
        <f>IFERROR('Data Sheet'!I17,0)</f>
        <v>153670</v>
      </c>
      <c r="K5" s="51">
        <f>IFERROR('Data Sheet'!J17,0)</f>
        <v>162990</v>
      </c>
      <c r="L5" s="51">
        <f>IFERROR('Data Sheet'!K17,0)</f>
        <v>178650</v>
      </c>
      <c r="M5" s="51">
        <f>IFERROR(SUM('Data Sheet'!H42:K42),0)</f>
        <v>178650</v>
      </c>
    </row>
    <row r="6" spans="1:14" x14ac:dyDescent="0.35">
      <c r="B6" s="57" t="s">
        <v>124</v>
      </c>
      <c r="C6" s="57"/>
      <c r="D6" s="56">
        <f t="shared" ref="D6:M6" si="0">IFERROR(D5/C5-1,0)</f>
        <v>2.9758775772443125E-2</v>
      </c>
      <c r="E6" s="56">
        <f t="shared" si="0"/>
        <v>0.17232920223476356</v>
      </c>
      <c r="F6" s="56">
        <f t="shared" si="0"/>
        <v>9.8167523435137571E-2</v>
      </c>
      <c r="G6" s="56">
        <f t="shared" si="0"/>
        <v>0.10662951173574475</v>
      </c>
      <c r="H6" s="56">
        <f t="shared" si="0"/>
        <v>0.21069551715900947</v>
      </c>
      <c r="I6" s="56">
        <f t="shared" si="0"/>
        <v>0.20655864387829759</v>
      </c>
      <c r="J6" s="56">
        <f t="shared" si="0"/>
        <v>4.7033733741236095E-2</v>
      </c>
      <c r="K6" s="56">
        <f t="shared" si="0"/>
        <v>6.0649443612936782E-2</v>
      </c>
      <c r="L6" s="56">
        <f t="shared" si="0"/>
        <v>9.6079514080618544E-2</v>
      </c>
      <c r="M6" s="56">
        <f t="shared" si="0"/>
        <v>0</v>
      </c>
    </row>
    <row r="7" spans="1:14" x14ac:dyDescent="0.35">
      <c r="D7" s="48" t="s">
        <v>246</v>
      </c>
    </row>
    <row r="8" spans="1:14" x14ac:dyDescent="0.35">
      <c r="B8" s="48" t="s">
        <v>123</v>
      </c>
      <c r="C8" s="51">
        <f>IFERROR(SUM('Data Sheet'!B18,'Data Sheet'!B20:B22)-1*'Data Sheet'!B19,0)</f>
        <v>44609</v>
      </c>
      <c r="D8" s="51">
        <f>IFERROR(SUM('Data Sheet'!C18,'Data Sheet'!C20:C22)-1*'Data Sheet'!C19,0)</f>
        <v>46395</v>
      </c>
      <c r="E8" s="51">
        <f>IFERROR(SUM('Data Sheet'!D18,'Data Sheet'!D20:D22)-1*'Data Sheet'!D19,0)</f>
        <v>55446</v>
      </c>
      <c r="F8" s="51">
        <f>IFERROR(SUM('Data Sheet'!E18,'Data Sheet'!E20:E22)-1*'Data Sheet'!E19,0)</f>
        <v>62210</v>
      </c>
      <c r="G8" s="51">
        <f>IFERROR(SUM('Data Sheet'!F18,'Data Sheet'!F20:F22)-1*'Data Sheet'!F19,0)</f>
        <v>68490</v>
      </c>
      <c r="H8" s="51">
        <f>IFERROR(SUM('Data Sheet'!G18,'Data Sheet'!G20:G22)-1*'Data Sheet'!G19,0)</f>
        <v>84819</v>
      </c>
      <c r="I8" s="51">
        <f>IFERROR(SUM('Data Sheet'!H18,'Data Sheet'!H20:H22)-1*'Data Sheet'!H19,0)</f>
        <v>104880</v>
      </c>
      <c r="J8" s="51">
        <f>IFERROR(SUM('Data Sheet'!I18,'Data Sheet'!I20:I22)-1*'Data Sheet'!I19,0)</f>
        <v>110030</v>
      </c>
      <c r="K8" s="51">
        <f>IFERROR(SUM('Data Sheet'!J18,'Data Sheet'!J20:J22)-1*'Data Sheet'!J19,0)</f>
        <v>116585</v>
      </c>
      <c r="L8" s="51">
        <f>IFERROR(SUM('Data Sheet'!K18,'Data Sheet'!K20:K22)-1*'Data Sheet'!K19,0)</f>
        <v>128257</v>
      </c>
      <c r="M8" s="51">
        <f>IFERROR(SUM('Data Sheet'!L18,'Data Sheet'!L20:L22)-1*'Data Sheet'!L19,0)</f>
        <v>0</v>
      </c>
    </row>
    <row r="9" spans="1:14" x14ac:dyDescent="0.35">
      <c r="B9" s="57" t="s">
        <v>122</v>
      </c>
      <c r="C9" s="56">
        <f t="shared" ref="C9:M9" si="1">IFERROR(C8/C5,0)</f>
        <v>0.65137842415746738</v>
      </c>
      <c r="D9" s="56">
        <f t="shared" si="1"/>
        <v>0.65787981055557132</v>
      </c>
      <c r="E9" s="56">
        <f t="shared" si="1"/>
        <v>0.67065013607499246</v>
      </c>
      <c r="F9" s="56">
        <f t="shared" si="1"/>
        <v>0.68520007489729162</v>
      </c>
      <c r="G9" s="56">
        <f t="shared" si="1"/>
        <v>0.68168245879448996</v>
      </c>
      <c r="H9" s="56">
        <f t="shared" si="1"/>
        <v>0.69728956519594543</v>
      </c>
      <c r="I9" s="56">
        <f t="shared" si="1"/>
        <v>0.71460205632056251</v>
      </c>
      <c r="J9" s="56">
        <f t="shared" si="1"/>
        <v>0.71601483698835167</v>
      </c>
      <c r="K9" s="56">
        <f t="shared" si="1"/>
        <v>0.71528928155101545</v>
      </c>
      <c r="L9" s="56">
        <f t="shared" si="1"/>
        <v>0.71792331374195351</v>
      </c>
      <c r="M9" s="56">
        <f t="shared" si="1"/>
        <v>0</v>
      </c>
      <c r="N9" s="56"/>
    </row>
    <row r="11" spans="1:14" x14ac:dyDescent="0.35">
      <c r="B11" s="48" t="s">
        <v>121</v>
      </c>
      <c r="C11" s="51">
        <f>IFERROR(C5-C8,0)</f>
        <v>23875</v>
      </c>
      <c r="D11" s="51">
        <f>IFERROR(D5-D8,0)</f>
        <v>24127</v>
      </c>
      <c r="E11" s="51">
        <f t="shared" ref="E11:M11" si="2">IFERROR(E5-E8,0)</f>
        <v>27229</v>
      </c>
      <c r="F11" s="51">
        <f t="shared" si="2"/>
        <v>28581</v>
      </c>
      <c r="G11" s="51">
        <f t="shared" si="2"/>
        <v>31982</v>
      </c>
      <c r="H11" s="51">
        <f t="shared" si="2"/>
        <v>36822</v>
      </c>
      <c r="I11" s="51">
        <f t="shared" si="2"/>
        <v>41887</v>
      </c>
      <c r="J11" s="51">
        <f t="shared" si="2"/>
        <v>43640</v>
      </c>
      <c r="K11" s="51">
        <f t="shared" si="2"/>
        <v>46405</v>
      </c>
      <c r="L11" s="51">
        <f>IFERROR(L5-L8,0)</f>
        <v>50393</v>
      </c>
      <c r="M11" s="51">
        <f t="shared" si="2"/>
        <v>178650</v>
      </c>
    </row>
    <row r="12" spans="1:14" x14ac:dyDescent="0.35">
      <c r="B12" s="57" t="s">
        <v>120</v>
      </c>
      <c r="C12" s="56">
        <f>IFERROR(C11/C5,0)</f>
        <v>0.34862157584253256</v>
      </c>
      <c r="D12" s="56">
        <f t="shared" ref="D12:M12" si="3">IFERROR(D11/D5,0)</f>
        <v>0.34212018944442868</v>
      </c>
      <c r="E12" s="56">
        <f t="shared" si="3"/>
        <v>0.32934986392500754</v>
      </c>
      <c r="F12" s="56">
        <f t="shared" si="3"/>
        <v>0.31479992510270843</v>
      </c>
      <c r="G12" s="56">
        <f t="shared" si="3"/>
        <v>0.31831754120550998</v>
      </c>
      <c r="H12" s="56">
        <f t="shared" si="3"/>
        <v>0.30271043480405457</v>
      </c>
      <c r="I12" s="56">
        <f t="shared" si="3"/>
        <v>0.28539794367943749</v>
      </c>
      <c r="J12" s="56">
        <f t="shared" si="3"/>
        <v>0.28398516301164833</v>
      </c>
      <c r="K12" s="56">
        <f t="shared" si="3"/>
        <v>0.2847107184489846</v>
      </c>
      <c r="L12" s="56">
        <f t="shared" si="3"/>
        <v>0.28207668625804644</v>
      </c>
      <c r="M12" s="56">
        <f t="shared" si="3"/>
        <v>1</v>
      </c>
      <c r="N12" s="56"/>
    </row>
    <row r="14" spans="1:14" x14ac:dyDescent="0.35">
      <c r="B14" s="48" t="s">
        <v>119</v>
      </c>
      <c r="C14" s="51">
        <f>IFERROR(SUM('Data Sheet'!B23,'Data Sheet'!B24),0)</f>
        <v>5271</v>
      </c>
      <c r="D14" s="51">
        <f>IFERROR(SUM('Data Sheet'!C23,'Data Sheet'!C24),0)</f>
        <v>5305</v>
      </c>
      <c r="E14" s="51">
        <f>IFERROR(SUM('Data Sheet'!D23,'Data Sheet'!D24),0)</f>
        <v>7059</v>
      </c>
      <c r="F14" s="51">
        <f>IFERROR(SUM('Data Sheet'!E23,'Data Sheet'!E24),0)</f>
        <v>6314</v>
      </c>
      <c r="G14" s="51">
        <f>IFERROR(SUM('Data Sheet'!F23,'Data Sheet'!F24),0)</f>
        <v>4093</v>
      </c>
      <c r="H14" s="51">
        <f>IFERROR(SUM('Data Sheet'!G23,'Data Sheet'!G24),0)</f>
        <v>5331</v>
      </c>
      <c r="I14" s="51">
        <f>IFERROR(SUM('Data Sheet'!H23,'Data Sheet'!H24),0)</f>
        <v>6757</v>
      </c>
      <c r="J14" s="51">
        <f>IFERROR(SUM('Data Sheet'!I23,'Data Sheet'!I24),0)</f>
        <v>7215</v>
      </c>
      <c r="K14" s="51">
        <f>IFERROR(SUM('Data Sheet'!J23,'Data Sheet'!J24),0)</f>
        <v>7169</v>
      </c>
      <c r="L14" s="51">
        <f>IFERROR(SUM('Data Sheet'!K23,'Data Sheet'!K24),0)</f>
        <v>8113</v>
      </c>
      <c r="M14" s="51">
        <f>IFERROR(SUM('Data Sheet'!L23+'Data Sheet'!L24),0)</f>
        <v>0</v>
      </c>
    </row>
    <row r="15" spans="1:14" x14ac:dyDescent="0.35">
      <c r="B15" s="57" t="s">
        <v>118</v>
      </c>
      <c r="C15" s="56">
        <f t="shared" ref="C15:M15" si="4">IFERROR(C14/C5,0)</f>
        <v>7.6966882775538814E-2</v>
      </c>
      <c r="D15" s="56">
        <f t="shared" si="4"/>
        <v>7.5224752559484978E-2</v>
      </c>
      <c r="E15" s="56">
        <f t="shared" si="4"/>
        <v>8.5382521923193233E-2</v>
      </c>
      <c r="F15" s="56">
        <f t="shared" si="4"/>
        <v>6.9544338095185648E-2</v>
      </c>
      <c r="G15" s="56">
        <f t="shared" si="4"/>
        <v>4.0737717971176049E-2</v>
      </c>
      <c r="H15" s="56">
        <f t="shared" si="4"/>
        <v>4.3825683774385282E-2</v>
      </c>
      <c r="I15" s="56">
        <f t="shared" si="4"/>
        <v>4.6038959711651804E-2</v>
      </c>
      <c r="J15" s="56">
        <f t="shared" si="4"/>
        <v>4.6951259191774584E-2</v>
      </c>
      <c r="K15" s="56">
        <f t="shared" si="4"/>
        <v>4.3984293514939564E-2</v>
      </c>
      <c r="L15" s="56">
        <f t="shared" si="4"/>
        <v>4.5412818359921635E-2</v>
      </c>
      <c r="M15" s="56">
        <f t="shared" si="4"/>
        <v>0</v>
      </c>
    </row>
    <row r="17" spans="2:14" x14ac:dyDescent="0.35">
      <c r="B17" s="48" t="s">
        <v>117</v>
      </c>
      <c r="C17" s="51">
        <f t="shared" ref="C17:M17" si="5">IFERROR(C11-C14,0)</f>
        <v>18604</v>
      </c>
      <c r="D17" s="51">
        <f t="shared" si="5"/>
        <v>18822</v>
      </c>
      <c r="E17" s="51">
        <f t="shared" si="5"/>
        <v>20170</v>
      </c>
      <c r="F17" s="51">
        <f t="shared" si="5"/>
        <v>22267</v>
      </c>
      <c r="G17" s="51">
        <f t="shared" si="5"/>
        <v>27889</v>
      </c>
      <c r="H17" s="51">
        <f t="shared" si="5"/>
        <v>31491</v>
      </c>
      <c r="I17" s="51">
        <f t="shared" si="5"/>
        <v>35130</v>
      </c>
      <c r="J17" s="51">
        <f t="shared" si="5"/>
        <v>36425</v>
      </c>
      <c r="K17" s="51">
        <f t="shared" si="5"/>
        <v>39236</v>
      </c>
      <c r="L17" s="51">
        <f t="shared" si="5"/>
        <v>42280</v>
      </c>
      <c r="M17" s="51">
        <f t="shared" si="5"/>
        <v>178650</v>
      </c>
    </row>
    <row r="18" spans="2:14" x14ac:dyDescent="0.35">
      <c r="B18" s="57" t="s">
        <v>116</v>
      </c>
      <c r="C18" s="56">
        <f>IFERROR(C17/C5,0)</f>
        <v>0.27165469306699375</v>
      </c>
      <c r="D18" s="56">
        <f t="shared" ref="D18:M18" si="6">IFERROR(D17/D5,0)</f>
        <v>0.26689543688494372</v>
      </c>
      <c r="E18" s="56">
        <f t="shared" si="6"/>
        <v>0.24396734200181433</v>
      </c>
      <c r="F18" s="56">
        <f t="shared" si="6"/>
        <v>0.24525558700752279</v>
      </c>
      <c r="G18" s="56">
        <f t="shared" si="6"/>
        <v>0.27757982323433394</v>
      </c>
      <c r="H18" s="56">
        <f t="shared" si="6"/>
        <v>0.25888475102966929</v>
      </c>
      <c r="I18" s="56">
        <f t="shared" si="6"/>
        <v>0.23935898396778568</v>
      </c>
      <c r="J18" s="56">
        <f t="shared" si="6"/>
        <v>0.23703390381987374</v>
      </c>
      <c r="K18" s="56">
        <f t="shared" si="6"/>
        <v>0.24072642493404503</v>
      </c>
      <c r="L18" s="56">
        <f t="shared" si="6"/>
        <v>0.23666386789812482</v>
      </c>
      <c r="M18" s="56">
        <f t="shared" si="6"/>
        <v>1</v>
      </c>
    </row>
    <row r="20" spans="2:14" x14ac:dyDescent="0.35">
      <c r="B20" s="48" t="s">
        <v>115</v>
      </c>
      <c r="C20" s="51">
        <f>IFERROR('Data Sheet'!B27,0)</f>
        <v>0</v>
      </c>
      <c r="D20" s="51">
        <f>IFERROR('Data Sheet'!C27,0)</f>
        <v>0</v>
      </c>
      <c r="E20" s="51">
        <f>IFERROR('Data Sheet'!D27,0)</f>
        <v>0</v>
      </c>
      <c r="F20" s="51">
        <f>IFERROR('Data Sheet'!E27,0)</f>
        <v>170</v>
      </c>
      <c r="G20" s="51">
        <f>IFERROR('Data Sheet'!F27,0)</f>
        <v>195</v>
      </c>
      <c r="H20" s="51">
        <f>IFERROR('Data Sheet'!G27,0)</f>
        <v>200</v>
      </c>
      <c r="I20" s="51">
        <f>IFERROR('Data Sheet'!H27,0)</f>
        <v>284</v>
      </c>
      <c r="J20" s="51">
        <f>IFERROR('Data Sheet'!I27,0)</f>
        <v>470</v>
      </c>
      <c r="K20" s="51">
        <f>IFERROR('Data Sheet'!J27,0)</f>
        <v>416</v>
      </c>
      <c r="L20" s="51">
        <f>IFERROR('Data Sheet'!K27,0)</f>
        <v>416</v>
      </c>
      <c r="M20" s="51">
        <f>IFERROR(SUM('Data Sheet'!H46:K46),0)</f>
        <v>416</v>
      </c>
    </row>
    <row r="21" spans="2:14" x14ac:dyDescent="0.35">
      <c r="B21" s="57" t="s">
        <v>114</v>
      </c>
      <c r="C21" s="56">
        <f t="shared" ref="C21:M21" si="7">IFERROR(C20/C5,0)</f>
        <v>0</v>
      </c>
      <c r="D21" s="56">
        <f t="shared" si="7"/>
        <v>0</v>
      </c>
      <c r="E21" s="56">
        <f t="shared" si="7"/>
        <v>0</v>
      </c>
      <c r="F21" s="56">
        <f t="shared" si="7"/>
        <v>1.8724322895441179E-3</v>
      </c>
      <c r="G21" s="56">
        <f t="shared" si="7"/>
        <v>1.9408392387928975E-3</v>
      </c>
      <c r="H21" s="56">
        <f t="shared" si="7"/>
        <v>1.6441824713706726E-3</v>
      </c>
      <c r="I21" s="56">
        <f t="shared" si="7"/>
        <v>1.9350398931639945E-3</v>
      </c>
      <c r="J21" s="56">
        <f t="shared" si="7"/>
        <v>3.0585019847725646E-3</v>
      </c>
      <c r="K21" s="56">
        <f t="shared" si="7"/>
        <v>2.5523038223203877E-3</v>
      </c>
      <c r="L21" s="56">
        <f t="shared" si="7"/>
        <v>2.3285754268122026E-3</v>
      </c>
      <c r="M21" s="56">
        <f t="shared" si="7"/>
        <v>2.3285754268122026E-3</v>
      </c>
    </row>
    <row r="23" spans="2:14" x14ac:dyDescent="0.35">
      <c r="B23" s="48" t="s">
        <v>113</v>
      </c>
      <c r="C23" s="51">
        <f>IFERROR('Data Sheet'!B26,0)</f>
        <v>1703</v>
      </c>
      <c r="D23" s="51">
        <f>IFERROR('Data Sheet'!C26,0)</f>
        <v>1863</v>
      </c>
      <c r="E23" s="51">
        <f>IFERROR('Data Sheet'!D26,0)</f>
        <v>2011</v>
      </c>
      <c r="F23" s="51">
        <f>IFERROR('Data Sheet'!E26,0)</f>
        <v>2893</v>
      </c>
      <c r="G23" s="51">
        <f>IFERROR('Data Sheet'!F26,0)</f>
        <v>3267</v>
      </c>
      <c r="H23" s="51">
        <f>IFERROR('Data Sheet'!G26,0)</f>
        <v>3476</v>
      </c>
      <c r="I23" s="51">
        <f>IFERROR('Data Sheet'!H26,0)</f>
        <v>4225</v>
      </c>
      <c r="J23" s="51">
        <f>IFERROR('Data Sheet'!I26,0)</f>
        <v>4678</v>
      </c>
      <c r="K23" s="51">
        <f>IFERROR('Data Sheet'!J26,0)</f>
        <v>4812</v>
      </c>
      <c r="L23" s="51">
        <f>IFERROR('Data Sheet'!K26,0)</f>
        <v>4902</v>
      </c>
      <c r="M23" s="51">
        <f>IFERROR(SUM('Data Sheet'!H45:K45),0)</f>
        <v>4901</v>
      </c>
    </row>
    <row r="24" spans="2:14" x14ac:dyDescent="0.35">
      <c r="B24" s="57" t="s">
        <v>112</v>
      </c>
      <c r="C24" s="56">
        <f t="shared" ref="C24:M24" si="8">IFERROR(C23/C5,0)</f>
        <v>2.4867122247532271E-2</v>
      </c>
      <c r="D24" s="56">
        <f t="shared" si="8"/>
        <v>2.6417288222115084E-2</v>
      </c>
      <c r="E24" s="56">
        <f t="shared" si="8"/>
        <v>2.4324160870879952E-2</v>
      </c>
      <c r="F24" s="56">
        <f t="shared" si="8"/>
        <v>3.1864391845006661E-2</v>
      </c>
      <c r="G24" s="56">
        <f t="shared" si="8"/>
        <v>3.2516522016084085E-2</v>
      </c>
      <c r="H24" s="56">
        <f t="shared" si="8"/>
        <v>2.8575891352422292E-2</v>
      </c>
      <c r="I24" s="56">
        <f t="shared" si="8"/>
        <v>2.8787125171189708E-2</v>
      </c>
      <c r="J24" s="56">
        <f t="shared" si="8"/>
        <v>3.0441855925034164E-2</v>
      </c>
      <c r="K24" s="56">
        <f t="shared" si="8"/>
        <v>2.9523283637032948E-2</v>
      </c>
      <c r="L24" s="56">
        <f t="shared" si="8"/>
        <v>2.7439126784214944E-2</v>
      </c>
      <c r="M24" s="56">
        <f t="shared" si="8"/>
        <v>2.7433529247131262E-2</v>
      </c>
    </row>
    <row r="26" spans="2:14" x14ac:dyDescent="0.35">
      <c r="B26" s="48" t="s">
        <v>111</v>
      </c>
      <c r="C26" s="51">
        <f>IFERROR(C17+'Data Sheet'!B25-SUM(C20,C23),0)</f>
        <v>19951</v>
      </c>
      <c r="D26" s="51">
        <f>IFERROR(D17+'Data Sheet'!C25-SUM(D20,D23),0)</f>
        <v>20270</v>
      </c>
      <c r="E26" s="51">
        <f>IFERROR(E17+'Data Sheet'!D25-SUM(E20,E23),0)</f>
        <v>21041</v>
      </c>
      <c r="F26" s="51">
        <f>IFERROR(F17+'Data Sheet'!E25-SUM(F20,F23),0)</f>
        <v>22007</v>
      </c>
      <c r="G26" s="51">
        <f>IFERROR(G17+'Data Sheet'!F25-SUM(G20,G23),0)</f>
        <v>26628</v>
      </c>
      <c r="H26" s="51">
        <f>IFERROR(H17+'Data Sheet'!G25-SUM(H20,H23),0)</f>
        <v>30110</v>
      </c>
      <c r="I26" s="51">
        <f>IFERROR(I17+'Data Sheet'!H25-SUM(I20,I23),0)</f>
        <v>33322</v>
      </c>
      <c r="J26" s="51">
        <f>IFERROR(J17+'Data Sheet'!I25-SUM(J20,J23),0)</f>
        <v>35988</v>
      </c>
      <c r="K26" s="51">
        <f>IFERROR(K17+'Data Sheet'!J25-SUM(K20,K23),0)</f>
        <v>37608</v>
      </c>
      <c r="L26" s="51">
        <f>IFERROR(L17+'Data Sheet'!K25-SUM(L20,L23),0)</f>
        <v>39995</v>
      </c>
      <c r="M26" s="51">
        <f>IFERROR(M17+'Data Sheet'!L25-SUM(M20,M23),0)</f>
        <v>173333</v>
      </c>
    </row>
    <row r="27" spans="2:14" x14ac:dyDescent="0.35">
      <c r="B27" s="57" t="s">
        <v>110</v>
      </c>
      <c r="C27" s="56">
        <f t="shared" ref="C27:M27" si="9">IFERROR(C26/C5,0)</f>
        <v>0.29132352082238189</v>
      </c>
      <c r="D27" s="56">
        <f t="shared" si="9"/>
        <v>0.28742803664104816</v>
      </c>
      <c r="E27" s="56">
        <f t="shared" si="9"/>
        <v>0.25450257030541273</v>
      </c>
      <c r="F27" s="56">
        <f t="shared" si="9"/>
        <v>0.24239186703527882</v>
      </c>
      <c r="G27" s="56">
        <f t="shared" si="9"/>
        <v>0.26502906282347322</v>
      </c>
      <c r="H27" s="56">
        <f t="shared" si="9"/>
        <v>0.24753167106485477</v>
      </c>
      <c r="I27" s="56">
        <f t="shared" si="9"/>
        <v>0.22704013845074164</v>
      </c>
      <c r="J27" s="56">
        <f t="shared" si="9"/>
        <v>0.2341901477191384</v>
      </c>
      <c r="K27" s="56">
        <f t="shared" si="9"/>
        <v>0.23073808209092583</v>
      </c>
      <c r="L27" s="56">
        <f t="shared" si="9"/>
        <v>0.22387349566190876</v>
      </c>
      <c r="M27" s="56">
        <f t="shared" si="9"/>
        <v>0.97023789532605653</v>
      </c>
    </row>
    <row r="29" spans="2:14" x14ac:dyDescent="0.35">
      <c r="B29" s="48" t="s">
        <v>109</v>
      </c>
      <c r="C29" s="51">
        <f>IFERROR('Data Sheet'!B29,0)</f>
        <v>5598</v>
      </c>
      <c r="D29" s="51">
        <f>IFERROR('Data Sheet'!C29,0)</f>
        <v>4241</v>
      </c>
      <c r="E29" s="51">
        <f>IFERROR('Data Sheet'!D29,0)</f>
        <v>5631</v>
      </c>
      <c r="F29" s="51">
        <f>IFERROR('Data Sheet'!E29,0)</f>
        <v>5368</v>
      </c>
      <c r="G29" s="51">
        <f>IFERROR('Data Sheet'!F29,0)</f>
        <v>7205</v>
      </c>
      <c r="H29" s="51">
        <f>IFERROR('Data Sheet'!G29,0)</f>
        <v>7964</v>
      </c>
      <c r="I29" s="51">
        <f>IFERROR('Data Sheet'!H29,0)</f>
        <v>9214</v>
      </c>
      <c r="J29" s="51">
        <f>IFERROR('Data Sheet'!I29,0)</f>
        <v>9740</v>
      </c>
      <c r="K29" s="51">
        <f>IFERROR('Data Sheet'!J29,0)</f>
        <v>10858</v>
      </c>
      <c r="L29" s="51">
        <f>IFERROR('Data Sheet'!K29,0)</f>
        <v>10521</v>
      </c>
      <c r="M29" s="51">
        <f>IFERROR('Data Sheet'!L29,0)</f>
        <v>0</v>
      </c>
    </row>
    <row r="30" spans="2:14" x14ac:dyDescent="0.35">
      <c r="B30" s="57" t="s">
        <v>108</v>
      </c>
      <c r="C30" s="56">
        <f>IFERROR(IF(C26&gt;0,C29/C26,0),0)</f>
        <v>0.28058743922610396</v>
      </c>
      <c r="D30" s="56">
        <f t="shared" ref="D30:M30" si="10">IFERROR(IF(D26&gt;0,D29/D26,0),0)</f>
        <v>0.20922545633941786</v>
      </c>
      <c r="E30" s="56">
        <f t="shared" si="10"/>
        <v>0.26762036024903757</v>
      </c>
      <c r="F30" s="56">
        <f t="shared" si="10"/>
        <v>0.24392238833098559</v>
      </c>
      <c r="G30" s="56">
        <f t="shared" si="10"/>
        <v>0.27057984076911523</v>
      </c>
      <c r="H30" s="56">
        <f t="shared" si="10"/>
        <v>0.26449684490202591</v>
      </c>
      <c r="I30" s="56">
        <f t="shared" si="10"/>
        <v>0.27651401476502013</v>
      </c>
      <c r="J30" s="56">
        <f t="shared" si="10"/>
        <v>0.27064577081249308</v>
      </c>
      <c r="K30" s="56">
        <f t="shared" si="10"/>
        <v>0.28871516698574773</v>
      </c>
      <c r="L30" s="56">
        <f t="shared" si="10"/>
        <v>0.26305788223527943</v>
      </c>
      <c r="M30" s="56">
        <f t="shared" si="10"/>
        <v>0</v>
      </c>
      <c r="N30" s="56"/>
    </row>
    <row r="32" spans="2:14" x14ac:dyDescent="0.35">
      <c r="B32" s="48" t="s">
        <v>107</v>
      </c>
      <c r="C32" s="51">
        <f>IFERROR(C26-C29,0)</f>
        <v>14353</v>
      </c>
      <c r="D32" s="51">
        <f t="shared" ref="D32:M32" si="11">IFERROR(D26-D29,0)</f>
        <v>16029</v>
      </c>
      <c r="E32" s="51">
        <f t="shared" si="11"/>
        <v>15410</v>
      </c>
      <c r="F32" s="51">
        <f t="shared" si="11"/>
        <v>16639</v>
      </c>
      <c r="G32" s="51">
        <f t="shared" si="11"/>
        <v>19423</v>
      </c>
      <c r="H32" s="51">
        <f t="shared" si="11"/>
        <v>22146</v>
      </c>
      <c r="I32" s="51">
        <f t="shared" si="11"/>
        <v>24108</v>
      </c>
      <c r="J32" s="51">
        <f t="shared" si="11"/>
        <v>26248</v>
      </c>
      <c r="K32" s="51">
        <f t="shared" si="11"/>
        <v>26750</v>
      </c>
      <c r="L32" s="51">
        <f t="shared" si="11"/>
        <v>29474</v>
      </c>
      <c r="M32" s="51">
        <f t="shared" si="11"/>
        <v>173333</v>
      </c>
    </row>
    <row r="33" spans="1:13" x14ac:dyDescent="0.35">
      <c r="B33" s="57" t="s">
        <v>106</v>
      </c>
      <c r="C33" s="56">
        <f>IFERROR(C32/C5,0)</f>
        <v>0.20958180012849717</v>
      </c>
      <c r="D33" s="56">
        <f t="shared" ref="D33:M33" si="12">IFERROR(D32/D5,0)</f>
        <v>0.22729077451008195</v>
      </c>
      <c r="E33" s="56">
        <f t="shared" si="12"/>
        <v>0.18639250075597219</v>
      </c>
      <c r="F33" s="56">
        <f t="shared" si="12"/>
        <v>0.18326706391602693</v>
      </c>
      <c r="G33" s="56">
        <f t="shared" si="12"/>
        <v>0.19331754120550998</v>
      </c>
      <c r="H33" s="56">
        <f t="shared" si="12"/>
        <v>0.1820603250548746</v>
      </c>
      <c r="I33" s="56">
        <f t="shared" si="12"/>
        <v>0.16426035825492105</v>
      </c>
      <c r="J33" s="56">
        <f t="shared" si="12"/>
        <v>0.17080757467300059</v>
      </c>
      <c r="K33" s="56">
        <f t="shared" si="12"/>
        <v>0.16412049819007302</v>
      </c>
      <c r="L33" s="56">
        <f t="shared" si="12"/>
        <v>0.16498180800447804</v>
      </c>
      <c r="M33" s="56">
        <f t="shared" si="12"/>
        <v>0.97023789532605653</v>
      </c>
    </row>
    <row r="35" spans="1:13" x14ac:dyDescent="0.35">
      <c r="B35" s="48" t="s">
        <v>105</v>
      </c>
      <c r="C35" s="51">
        <f>'Data Sheet'!B93</f>
        <v>459.39</v>
      </c>
      <c r="D35" s="51">
        <f>'Data Sheet'!C93</f>
        <v>436.82</v>
      </c>
      <c r="E35" s="51">
        <f>'Data Sheet'!D93</f>
        <v>436.89</v>
      </c>
      <c r="F35" s="51">
        <f>'Data Sheet'!E93</f>
        <v>425.9</v>
      </c>
      <c r="G35" s="51">
        <f>'Data Sheet'!F93</f>
        <v>426.07</v>
      </c>
      <c r="H35" s="51">
        <f>'Data Sheet'!G93</f>
        <v>420.67</v>
      </c>
      <c r="I35" s="51">
        <f>'Data Sheet'!H93</f>
        <v>414.86</v>
      </c>
      <c r="J35" s="51">
        <f>'Data Sheet'!I93</f>
        <v>415.09</v>
      </c>
      <c r="K35" s="51">
        <f>'Data Sheet'!J93</f>
        <v>415.33</v>
      </c>
      <c r="L35" s="51">
        <f>'Data Sheet'!K93</f>
        <v>405.56</v>
      </c>
      <c r="M35" s="51">
        <f>'Data Sheet'!L93</f>
        <v>0</v>
      </c>
    </row>
    <row r="37" spans="1:13" x14ac:dyDescent="0.35">
      <c r="B37" s="48" t="s">
        <v>104</v>
      </c>
      <c r="C37" s="51">
        <f>IFERROR(C32/C35,0)</f>
        <v>31.243605650971944</v>
      </c>
      <c r="D37" s="51">
        <f t="shared" ref="D37:M37" si="13">IFERROR(D32/D35,0)</f>
        <v>36.694748408955633</v>
      </c>
      <c r="E37" s="51">
        <f t="shared" si="13"/>
        <v>35.272036439378333</v>
      </c>
      <c r="F37" s="51">
        <f t="shared" si="13"/>
        <v>39.067856304296782</v>
      </c>
      <c r="G37" s="51">
        <f t="shared" si="13"/>
        <v>45.586405989626115</v>
      </c>
      <c r="H37" s="51">
        <f t="shared" si="13"/>
        <v>52.644590771863932</v>
      </c>
      <c r="I37" s="51">
        <f t="shared" si="13"/>
        <v>58.11117003326423</v>
      </c>
      <c r="J37" s="51">
        <f t="shared" si="13"/>
        <v>63.234479269556005</v>
      </c>
      <c r="K37" s="51">
        <f t="shared" si="13"/>
        <v>64.406616425492984</v>
      </c>
      <c r="L37" s="51">
        <f t="shared" si="13"/>
        <v>72.674820001972577</v>
      </c>
      <c r="M37" s="51">
        <f t="shared" si="13"/>
        <v>0</v>
      </c>
    </row>
    <row r="38" spans="1:13" x14ac:dyDescent="0.35">
      <c r="B38" s="57" t="s">
        <v>103</v>
      </c>
      <c r="C38" s="56"/>
      <c r="D38" s="56">
        <f t="shared" ref="D38:M38" si="14">IFERROR(D37/C37-1,0)</f>
        <v>0.17447226862608001</v>
      </c>
      <c r="E38" s="56">
        <f t="shared" si="14"/>
        <v>-3.8771541740018511E-2</v>
      </c>
      <c r="F38" s="56">
        <f t="shared" si="14"/>
        <v>0.10761555748113061</v>
      </c>
      <c r="G38" s="56">
        <f t="shared" si="14"/>
        <v>0.16685199296723141</v>
      </c>
      <c r="H38" s="56">
        <f t="shared" si="14"/>
        <v>0.15483091129939086</v>
      </c>
      <c r="I38" s="56">
        <f t="shared" si="14"/>
        <v>0.10383933432192105</v>
      </c>
      <c r="J38" s="56">
        <f t="shared" si="14"/>
        <v>8.8163931880205881E-2</v>
      </c>
      <c r="K38" s="56">
        <f t="shared" si="14"/>
        <v>1.8536361324972717E-2</v>
      </c>
      <c r="L38" s="56">
        <f t="shared" si="14"/>
        <v>0.12837506509978569</v>
      </c>
      <c r="M38" s="56">
        <f t="shared" si="14"/>
        <v>-1</v>
      </c>
    </row>
    <row r="40" spans="1:13" x14ac:dyDescent="0.35">
      <c r="B40" s="48" t="s">
        <v>102</v>
      </c>
      <c r="C40" s="51">
        <f>IFERROR('Data Sheet'!B31/HistoricalFS!C35,0)</f>
        <v>12.824832930625396</v>
      </c>
      <c r="D40" s="51">
        <f>IFERROR('Data Sheet'!C31/HistoricalFS!D35,0)</f>
        <v>21.669337484547412</v>
      </c>
      <c r="E40" s="51">
        <f>IFERROR('Data Sheet'!D31/HistoricalFS!E35,0)</f>
        <v>21.109432580283368</v>
      </c>
      <c r="F40" s="51">
        <f>IFERROR('Data Sheet'!E31/HistoricalFS!F35,0)</f>
        <v>17.438365813571263</v>
      </c>
      <c r="G40" s="51">
        <f>IFERROR('Data Sheet'!F31/HistoricalFS!G35,0)</f>
        <v>26.919520266622857</v>
      </c>
      <c r="H40" s="51">
        <f>IFERROR('Data Sheet'!G31/HistoricalFS!H35,0)</f>
        <v>30.921149594694178</v>
      </c>
      <c r="I40" s="51">
        <f>IFERROR('Data Sheet'!H31/HistoricalFS!I35,0)</f>
        <v>33.913127320059779</v>
      </c>
      <c r="J40" s="51">
        <f>IFERROR('Data Sheet'!I31/HistoricalFS!J35,0)</f>
        <v>45.901370787058234</v>
      </c>
      <c r="K40" s="51">
        <f>IFERROR('Data Sheet'!J31/HistoricalFS!K35,0)</f>
        <v>42.924421544314157</v>
      </c>
      <c r="L40" s="51">
        <f>IFERROR('Data Sheet'!K31/HistoricalFS!L35,0)</f>
        <v>47.910050300818625</v>
      </c>
      <c r="M40" s="51">
        <f>IFERROR('Data Sheet'!L31/HistoricalFS!M35,0)</f>
        <v>0</v>
      </c>
    </row>
    <row r="41" spans="1:13" x14ac:dyDescent="0.35">
      <c r="B41" s="57" t="s">
        <v>101</v>
      </c>
      <c r="C41" s="56">
        <f>IFERROR(C40/C37,0)</f>
        <v>0.4104786455793214</v>
      </c>
      <c r="D41" s="56">
        <f t="shared" ref="D41:M41" si="15">IFERROR(D40/D37,0)</f>
        <v>0.59052966498221982</v>
      </c>
      <c r="E41" s="56">
        <f t="shared" si="15"/>
        <v>0.59847501622323174</v>
      </c>
      <c r="F41" s="56">
        <f t="shared" si="15"/>
        <v>0.44636095919225921</v>
      </c>
      <c r="G41" s="56">
        <f t="shared" si="15"/>
        <v>0.59051639808474499</v>
      </c>
      <c r="H41" s="56">
        <f t="shared" si="15"/>
        <v>0.58735663325205456</v>
      </c>
      <c r="I41" s="56">
        <f t="shared" si="15"/>
        <v>0.58359050937448154</v>
      </c>
      <c r="J41" s="56">
        <f t="shared" si="15"/>
        <v>0.72589149649497109</v>
      </c>
      <c r="K41" s="56">
        <f t="shared" si="15"/>
        <v>0.66645981308411206</v>
      </c>
      <c r="L41" s="56">
        <f>IFERROR(L40/L37,0)</f>
        <v>0.65923865101445356</v>
      </c>
      <c r="M41" s="56">
        <f>IFERROR(M40/M37,0)</f>
        <v>0</v>
      </c>
    </row>
    <row r="43" spans="1:13" x14ac:dyDescent="0.35">
      <c r="B43" s="48" t="s">
        <v>100</v>
      </c>
      <c r="C43" s="55">
        <f>IFERROR(IF(C37&gt;C40,1-C41,0),0)</f>
        <v>0.58952135442067854</v>
      </c>
      <c r="D43" s="55">
        <f t="shared" ref="D43:M43" si="16">IFERROR(IF(D37&gt;D40,1-D41,0),0)</f>
        <v>0.40947033501778018</v>
      </c>
      <c r="E43" s="55">
        <f t="shared" si="16"/>
        <v>0.40152498377676826</v>
      </c>
      <c r="F43" s="55">
        <f t="shared" si="16"/>
        <v>0.55363904080774073</v>
      </c>
      <c r="G43" s="55">
        <f t="shared" si="16"/>
        <v>0.40948360191525501</v>
      </c>
      <c r="H43" s="55">
        <f t="shared" si="16"/>
        <v>0.41264336674794544</v>
      </c>
      <c r="I43" s="55">
        <f t="shared" si="16"/>
        <v>0.41640949062551846</v>
      </c>
      <c r="J43" s="55">
        <f t="shared" si="16"/>
        <v>0.27410850350502891</v>
      </c>
      <c r="K43" s="55">
        <f t="shared" si="16"/>
        <v>0.33354018691588794</v>
      </c>
      <c r="L43" s="55">
        <f t="shared" si="16"/>
        <v>0.34076134898554644</v>
      </c>
      <c r="M43" s="55">
        <f>IFERROR(IF(M37&gt;M40,1-M41,0),0)</f>
        <v>0</v>
      </c>
    </row>
    <row r="46" spans="1:13" x14ac:dyDescent="0.35">
      <c r="A46" s="50" t="s">
        <v>84</v>
      </c>
      <c r="B46" s="53" t="s">
        <v>99</v>
      </c>
      <c r="C46" s="53"/>
      <c r="D46" s="52"/>
      <c r="E46" s="52"/>
      <c r="F46" s="52"/>
      <c r="G46" s="52"/>
      <c r="H46" s="52"/>
      <c r="I46" s="52"/>
      <c r="J46" s="52"/>
      <c r="K46" s="52"/>
      <c r="L46" s="52"/>
      <c r="M46" s="52"/>
    </row>
    <row r="48" spans="1:13" x14ac:dyDescent="0.35">
      <c r="B48" s="48" t="s">
        <v>98</v>
      </c>
      <c r="C48" s="51">
        <f>IFERROR('Data Sheet'!B57,0)</f>
        <v>1144</v>
      </c>
      <c r="D48" s="51">
        <f>IFERROR('Data Sheet'!C57,0)</f>
        <v>1088</v>
      </c>
      <c r="E48" s="51">
        <f>IFERROR('Data Sheet'!D57,0)</f>
        <v>2170</v>
      </c>
      <c r="F48" s="51">
        <f>IFERROR('Data Sheet'!E57,0)</f>
        <v>2122</v>
      </c>
      <c r="G48" s="51">
        <f>IFERROR('Data Sheet'!F57,0)</f>
        <v>2124</v>
      </c>
      <c r="H48" s="51">
        <f>IFERROR('Data Sheet'!G57,0)</f>
        <v>2098</v>
      </c>
      <c r="I48" s="51">
        <f>IFERROR('Data Sheet'!H57,0)</f>
        <v>2069</v>
      </c>
      <c r="J48" s="51">
        <f>IFERROR('Data Sheet'!I57,0)</f>
        <v>2071</v>
      </c>
      <c r="K48" s="51">
        <f>IFERROR('Data Sheet'!J57,0)</f>
        <v>2073</v>
      </c>
      <c r="L48" s="51">
        <f>IFERROR('Data Sheet'!K57,0)</f>
        <v>2024</v>
      </c>
    </row>
    <row r="49" spans="2:12" x14ac:dyDescent="0.35">
      <c r="B49" s="48" t="s">
        <v>97</v>
      </c>
      <c r="C49" s="51">
        <f>IFERROR('Data Sheet'!B58,0)</f>
        <v>67838</v>
      </c>
      <c r="D49" s="51">
        <f>IFERROR('Data Sheet'!C58,0)</f>
        <v>63835</v>
      </c>
      <c r="E49" s="51">
        <f>IFERROR('Data Sheet'!D58,0)</f>
        <v>62778</v>
      </c>
      <c r="F49" s="51">
        <f>IFERROR('Data Sheet'!E58,0)</f>
        <v>63328</v>
      </c>
      <c r="G49" s="51">
        <f>IFERROR('Data Sheet'!F58,0)</f>
        <v>74227</v>
      </c>
      <c r="H49" s="51">
        <f>IFERROR('Data Sheet'!G58,0)</f>
        <v>73252</v>
      </c>
      <c r="I49" s="51">
        <f>IFERROR('Data Sheet'!H58,0)</f>
        <v>73338</v>
      </c>
      <c r="J49" s="51">
        <f>IFERROR('Data Sheet'!I58,0)</f>
        <v>86045</v>
      </c>
      <c r="K49" s="51">
        <f>IFERROR('Data Sheet'!J58,0)</f>
        <v>93745</v>
      </c>
      <c r="L49" s="51">
        <f>IFERROR('Data Sheet'!K58,0)</f>
        <v>90828</v>
      </c>
    </row>
    <row r="50" spans="2:12" x14ac:dyDescent="0.35">
      <c r="B50" s="48" t="s">
        <v>96</v>
      </c>
      <c r="C50" s="51">
        <f>IFERROR('Data Sheet'!B59,0)</f>
        <v>0</v>
      </c>
      <c r="D50" s="51">
        <f>IFERROR('Data Sheet'!C59,0)</f>
        <v>0</v>
      </c>
      <c r="E50" s="51">
        <f>IFERROR('Data Sheet'!D59,0)</f>
        <v>0</v>
      </c>
      <c r="F50" s="51">
        <f>IFERROR('Data Sheet'!E59,0)</f>
        <v>4633</v>
      </c>
      <c r="G50" s="51">
        <f>IFERROR('Data Sheet'!F59,0)</f>
        <v>5325</v>
      </c>
      <c r="H50" s="51">
        <f>IFERROR('Data Sheet'!G59,0)</f>
        <v>5474</v>
      </c>
      <c r="I50" s="51">
        <f>IFERROR('Data Sheet'!H59,0)</f>
        <v>8299</v>
      </c>
      <c r="J50" s="51">
        <f>IFERROR('Data Sheet'!I59,0)</f>
        <v>8359</v>
      </c>
      <c r="K50" s="51">
        <f>IFERROR('Data Sheet'!J59,0)</f>
        <v>8227</v>
      </c>
      <c r="L50" s="51">
        <f>IFERROR('Data Sheet'!K59,0)</f>
        <v>9176</v>
      </c>
    </row>
    <row r="51" spans="2:12" x14ac:dyDescent="0.35">
      <c r="B51" s="48" t="s">
        <v>95</v>
      </c>
      <c r="C51" s="51">
        <f>IFERROR('Data Sheet'!B60,0)</f>
        <v>14166</v>
      </c>
      <c r="D51" s="51">
        <f>IFERROR('Data Sheet'!C60,0)</f>
        <v>14426</v>
      </c>
      <c r="E51" s="51">
        <f>IFERROR('Data Sheet'!D60,0)</f>
        <v>19118</v>
      </c>
      <c r="F51" s="51">
        <f>IFERROR('Data Sheet'!E60,0)</f>
        <v>21717</v>
      </c>
      <c r="G51" s="51">
        <f>IFERROR('Data Sheet'!F60,0)</f>
        <v>25835</v>
      </c>
      <c r="H51" s="51">
        <f>IFERROR('Data Sheet'!G60,0)</f>
        <v>35905</v>
      </c>
      <c r="I51" s="51">
        <f>IFERROR('Data Sheet'!H60,0)</f>
        <v>40890</v>
      </c>
      <c r="J51" s="51">
        <f>IFERROR('Data Sheet'!I60,0)</f>
        <v>39545</v>
      </c>
      <c r="K51" s="51">
        <f>IFERROR('Data Sheet'!J60,0)</f>
        <v>43750</v>
      </c>
      <c r="L51" s="51">
        <f>IFERROR('Data Sheet'!K60,0)</f>
        <v>52260</v>
      </c>
    </row>
    <row r="52" spans="2:12" x14ac:dyDescent="0.35">
      <c r="B52" s="50" t="s">
        <v>94</v>
      </c>
      <c r="C52" s="49">
        <f t="shared" ref="C52:L52" si="17">IFERROR(SUM(C48:C51),0)</f>
        <v>83148</v>
      </c>
      <c r="D52" s="49">
        <f t="shared" si="17"/>
        <v>79349</v>
      </c>
      <c r="E52" s="49">
        <f t="shared" si="17"/>
        <v>84066</v>
      </c>
      <c r="F52" s="49">
        <f t="shared" si="17"/>
        <v>91800</v>
      </c>
      <c r="G52" s="49">
        <f t="shared" si="17"/>
        <v>107511</v>
      </c>
      <c r="H52" s="49">
        <f t="shared" si="17"/>
        <v>116729</v>
      </c>
      <c r="I52" s="49">
        <f t="shared" si="17"/>
        <v>124596</v>
      </c>
      <c r="J52" s="49">
        <f t="shared" si="17"/>
        <v>136020</v>
      </c>
      <c r="K52" s="49">
        <f t="shared" si="17"/>
        <v>147795</v>
      </c>
      <c r="L52" s="49">
        <f t="shared" si="17"/>
        <v>154288</v>
      </c>
    </row>
    <row r="54" spans="2:12" x14ac:dyDescent="0.35">
      <c r="B54" s="48" t="s">
        <v>93</v>
      </c>
      <c r="C54" s="51">
        <f>IFERROR('Data Sheet'!B62,0)</f>
        <v>14179</v>
      </c>
      <c r="D54" s="51">
        <f>IFERROR('Data Sheet'!C62,0)</f>
        <v>12574</v>
      </c>
      <c r="E54" s="51">
        <f>IFERROR('Data Sheet'!D62,0)</f>
        <v>15710</v>
      </c>
      <c r="F54" s="51">
        <f>IFERROR('Data Sheet'!E62,0)</f>
        <v>23789</v>
      </c>
      <c r="G54" s="51">
        <f>IFERROR('Data Sheet'!F62,0)</f>
        <v>25505</v>
      </c>
      <c r="H54" s="51">
        <f>IFERROR('Data Sheet'!G62,0)</f>
        <v>25800</v>
      </c>
      <c r="I54" s="51">
        <f>IFERROR('Data Sheet'!H62,0)</f>
        <v>29225</v>
      </c>
      <c r="J54" s="51">
        <f>IFERROR('Data Sheet'!I62,0)</f>
        <v>27622</v>
      </c>
      <c r="K54" s="51">
        <f>IFERROR('Data Sheet'!J62,0)</f>
        <v>30961</v>
      </c>
      <c r="L54" s="51">
        <f>IFERROR('Data Sheet'!K62,0)</f>
        <v>33770</v>
      </c>
    </row>
    <row r="55" spans="2:12" x14ac:dyDescent="0.35">
      <c r="B55" s="48" t="s">
        <v>92</v>
      </c>
      <c r="C55" s="51">
        <f>IFERROR('Data Sheet'!B63,0)</f>
        <v>1365</v>
      </c>
      <c r="D55" s="51">
        <f>IFERROR('Data Sheet'!C63,0)</f>
        <v>1606</v>
      </c>
      <c r="E55" s="51">
        <f>IFERROR('Data Sheet'!D63,0)</f>
        <v>1388</v>
      </c>
      <c r="F55" s="51">
        <f>IFERROR('Data Sheet'!E63,0)</f>
        <v>954</v>
      </c>
      <c r="G55" s="51">
        <f>IFERROR('Data Sheet'!F63,0)</f>
        <v>922</v>
      </c>
      <c r="H55" s="51">
        <f>IFERROR('Data Sheet'!G63,0)</f>
        <v>416</v>
      </c>
      <c r="I55" s="51">
        <f>IFERROR('Data Sheet'!H63,0)</f>
        <v>288</v>
      </c>
      <c r="J55" s="51">
        <f>IFERROR('Data Sheet'!I63,0)</f>
        <v>293</v>
      </c>
      <c r="K55" s="51">
        <f>IFERROR('Data Sheet'!J63,0)</f>
        <v>814</v>
      </c>
      <c r="L55" s="51">
        <f>IFERROR('Data Sheet'!K63,0)</f>
        <v>526</v>
      </c>
    </row>
    <row r="56" spans="2:12" x14ac:dyDescent="0.35">
      <c r="B56" s="48" t="s">
        <v>91</v>
      </c>
      <c r="C56" s="51">
        <f>IFERROR('Data Sheet'!B64,0)</f>
        <v>16423</v>
      </c>
      <c r="D56" s="51">
        <f>IFERROR('Data Sheet'!C64,0)</f>
        <v>12163</v>
      </c>
      <c r="E56" s="51">
        <f>IFERROR('Data Sheet'!D64,0)</f>
        <v>11261</v>
      </c>
      <c r="F56" s="51">
        <f>IFERROR('Data Sheet'!E64,0)</f>
        <v>8792</v>
      </c>
      <c r="G56" s="51">
        <f>IFERROR('Data Sheet'!F64,0)</f>
        <v>14205</v>
      </c>
      <c r="H56" s="51">
        <f>IFERROR('Data Sheet'!G64,0)</f>
        <v>20324</v>
      </c>
      <c r="I56" s="51">
        <f>IFERROR('Data Sheet'!H64,0)</f>
        <v>19478</v>
      </c>
      <c r="J56" s="51">
        <f>IFERROR('Data Sheet'!I64,0)</f>
        <v>24623</v>
      </c>
      <c r="K56" s="51">
        <f>IFERROR('Data Sheet'!J64,0)</f>
        <v>23541</v>
      </c>
      <c r="L56" s="51">
        <f>IFERROR('Data Sheet'!K64,0)</f>
        <v>21880</v>
      </c>
    </row>
    <row r="57" spans="2:12" x14ac:dyDescent="0.35">
      <c r="B57" s="48" t="s">
        <v>90</v>
      </c>
      <c r="C57" s="51">
        <f>IFERROR('Data Sheet'!B65-SUM('Data Sheet'!B67:B69),0)</f>
        <v>16234</v>
      </c>
      <c r="D57" s="51">
        <f>IFERROR('Data Sheet'!C65-SUM('Data Sheet'!C67:C69),0)</f>
        <v>20046</v>
      </c>
      <c r="E57" s="51">
        <f>IFERROR('Data Sheet'!D65-SUM('Data Sheet'!D67:D69),0)</f>
        <v>21312</v>
      </c>
      <c r="F57" s="51">
        <f>IFERROR('Data Sheet'!E65-SUM('Data Sheet'!E67:E69),0)</f>
        <v>21129</v>
      </c>
      <c r="G57" s="51">
        <f>IFERROR('Data Sheet'!F65-SUM('Data Sheet'!F67:F69),0)</f>
        <v>22871</v>
      </c>
      <c r="H57" s="51">
        <f>IFERROR('Data Sheet'!G65-SUM('Data Sheet'!G67:G69),0)</f>
        <v>30019</v>
      </c>
      <c r="I57" s="51">
        <f>IFERROR('Data Sheet'!H65-SUM('Data Sheet'!H67:H69),0)</f>
        <v>38008</v>
      </c>
      <c r="J57" s="51">
        <f>IFERROR('Data Sheet'!I65-SUM('Data Sheet'!I67:I69),0)</f>
        <v>38503</v>
      </c>
      <c r="K57" s="51">
        <f>IFERROR('Data Sheet'!J65-SUM('Data Sheet'!J67:J69),0)</f>
        <v>36866</v>
      </c>
      <c r="L57" s="51">
        <f>IFERROR('Data Sheet'!K65-SUM('Data Sheet'!K67:K69),0)</f>
        <v>40677</v>
      </c>
    </row>
    <row r="58" spans="2:12" x14ac:dyDescent="0.35">
      <c r="B58" s="50" t="s">
        <v>89</v>
      </c>
      <c r="C58" s="49">
        <f>IFERROR(SUM(C54:C57),0)</f>
        <v>48201</v>
      </c>
      <c r="D58" s="49">
        <f t="shared" ref="D58:L58" si="18">IFERROR(SUM(D54:D57),0)</f>
        <v>46389</v>
      </c>
      <c r="E58" s="49">
        <f t="shared" si="18"/>
        <v>49671</v>
      </c>
      <c r="F58" s="49">
        <f t="shared" si="18"/>
        <v>54664</v>
      </c>
      <c r="G58" s="49">
        <f t="shared" si="18"/>
        <v>63503</v>
      </c>
      <c r="H58" s="49">
        <f t="shared" si="18"/>
        <v>76559</v>
      </c>
      <c r="I58" s="49">
        <f t="shared" si="18"/>
        <v>86999</v>
      </c>
      <c r="J58" s="49">
        <f t="shared" si="18"/>
        <v>91041</v>
      </c>
      <c r="K58" s="49">
        <f t="shared" si="18"/>
        <v>92182</v>
      </c>
      <c r="L58" s="49">
        <f t="shared" si="18"/>
        <v>96853</v>
      </c>
    </row>
    <row r="59" spans="2:12" x14ac:dyDescent="0.35"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</row>
    <row r="60" spans="2:12" x14ac:dyDescent="0.35">
      <c r="B60" s="48" t="s">
        <v>80</v>
      </c>
      <c r="C60" s="51">
        <f>IFERROR('Data Sheet'!B67,0)</f>
        <v>12322</v>
      </c>
      <c r="D60" s="51">
        <f>IFERROR('Data Sheet'!C67,0)</f>
        <v>13142</v>
      </c>
      <c r="E60" s="51">
        <f>IFERROR('Data Sheet'!D67,0)</f>
        <v>14827</v>
      </c>
      <c r="F60" s="51">
        <f>IFERROR('Data Sheet'!E67,0)</f>
        <v>18487</v>
      </c>
      <c r="G60" s="51">
        <f>IFERROR('Data Sheet'!F67,0)</f>
        <v>19294</v>
      </c>
      <c r="H60" s="51">
        <f>IFERROR('Data Sheet'!G67,0)</f>
        <v>22698</v>
      </c>
      <c r="I60" s="51">
        <f>IFERROR('Data Sheet'!H67,0)</f>
        <v>25424</v>
      </c>
      <c r="J60" s="51">
        <f>IFERROR('Data Sheet'!I67,0)</f>
        <v>30193</v>
      </c>
      <c r="K60" s="51">
        <f>IFERROR('Data Sheet'!J67,0)</f>
        <v>31158</v>
      </c>
      <c r="L60" s="51">
        <f>IFERROR('Data Sheet'!K67,0)</f>
        <v>35234</v>
      </c>
    </row>
    <row r="61" spans="2:12" x14ac:dyDescent="0.35">
      <c r="B61" s="48" t="s">
        <v>79</v>
      </c>
      <c r="C61" s="51">
        <f>IFERROR('Data Sheet'!B68,0)</f>
        <v>0</v>
      </c>
      <c r="D61" s="51">
        <f>IFERROR('Data Sheet'!C68,0)</f>
        <v>0</v>
      </c>
      <c r="E61" s="51">
        <f>IFERROR('Data Sheet'!D68,0)</f>
        <v>0</v>
      </c>
      <c r="F61" s="51">
        <f>IFERROR('Data Sheet'!E68,0)</f>
        <v>0</v>
      </c>
      <c r="G61" s="51">
        <f>IFERROR('Data Sheet'!F68,0)</f>
        <v>0</v>
      </c>
      <c r="H61" s="51">
        <f>IFERROR('Data Sheet'!G68,0)</f>
        <v>0</v>
      </c>
      <c r="I61" s="51">
        <f>IFERROR('Data Sheet'!H68,0)</f>
        <v>0</v>
      </c>
      <c r="J61" s="51">
        <f>IFERROR('Data Sheet'!I68,0)</f>
        <v>0</v>
      </c>
      <c r="K61" s="51">
        <f>IFERROR('Data Sheet'!J68,0)</f>
        <v>0</v>
      </c>
      <c r="L61" s="51">
        <f>IFERROR('Data Sheet'!K68,0)</f>
        <v>0</v>
      </c>
    </row>
    <row r="62" spans="2:12" x14ac:dyDescent="0.35">
      <c r="B62" s="48" t="s">
        <v>88</v>
      </c>
      <c r="C62" s="51">
        <f>IFERROR('Data Sheet'!B69,0)</f>
        <v>22625</v>
      </c>
      <c r="D62" s="51">
        <f>IFERROR('Data Sheet'!C69,0)</f>
        <v>19818</v>
      </c>
      <c r="E62" s="51">
        <f>IFERROR('Data Sheet'!D69,0)</f>
        <v>19568</v>
      </c>
      <c r="F62" s="51">
        <f>IFERROR('Data Sheet'!E69,0)</f>
        <v>18649</v>
      </c>
      <c r="G62" s="51">
        <f>IFERROR('Data Sheet'!F69,0)</f>
        <v>24714</v>
      </c>
      <c r="H62" s="51">
        <f>IFERROR('Data Sheet'!G69,0)</f>
        <v>17472</v>
      </c>
      <c r="I62" s="51">
        <f>IFERROR('Data Sheet'!H69,0)</f>
        <v>12173</v>
      </c>
      <c r="J62" s="51">
        <f>IFERROR('Data Sheet'!I69,0)</f>
        <v>14786</v>
      </c>
      <c r="K62" s="51">
        <f>IFERROR('Data Sheet'!J69,0)</f>
        <v>24455</v>
      </c>
      <c r="L62" s="51">
        <f>IFERROR('Data Sheet'!K69,0)</f>
        <v>22201</v>
      </c>
    </row>
    <row r="63" spans="2:12" x14ac:dyDescent="0.35">
      <c r="B63" s="50" t="s">
        <v>87</v>
      </c>
      <c r="C63" s="49">
        <f>IFERROR(SUM(C60:C62),0)</f>
        <v>34947</v>
      </c>
      <c r="D63" s="49">
        <f t="shared" ref="D63:L63" si="19">IFERROR(SUM(D60:D62),0)</f>
        <v>32960</v>
      </c>
      <c r="E63" s="49">
        <f t="shared" si="19"/>
        <v>34395</v>
      </c>
      <c r="F63" s="49">
        <f t="shared" si="19"/>
        <v>37136</v>
      </c>
      <c r="G63" s="49">
        <f t="shared" si="19"/>
        <v>44008</v>
      </c>
      <c r="H63" s="49">
        <f t="shared" si="19"/>
        <v>40170</v>
      </c>
      <c r="I63" s="49">
        <f t="shared" si="19"/>
        <v>37597</v>
      </c>
      <c r="J63" s="49">
        <f t="shared" si="19"/>
        <v>44979</v>
      </c>
      <c r="K63" s="49">
        <f t="shared" si="19"/>
        <v>55613</v>
      </c>
      <c r="L63" s="49">
        <f t="shared" si="19"/>
        <v>57435</v>
      </c>
    </row>
    <row r="65" spans="1:13" x14ac:dyDescent="0.35">
      <c r="B65" s="50" t="s">
        <v>86</v>
      </c>
      <c r="C65" s="49">
        <f t="shared" ref="C65:L65" si="20">C58+C63</f>
        <v>83148</v>
      </c>
      <c r="D65" s="49">
        <f t="shared" si="20"/>
        <v>79349</v>
      </c>
      <c r="E65" s="49">
        <f t="shared" si="20"/>
        <v>84066</v>
      </c>
      <c r="F65" s="49">
        <f t="shared" si="20"/>
        <v>91800</v>
      </c>
      <c r="G65" s="49">
        <f t="shared" si="20"/>
        <v>107511</v>
      </c>
      <c r="H65" s="49">
        <f t="shared" si="20"/>
        <v>116729</v>
      </c>
      <c r="I65" s="49">
        <f t="shared" si="20"/>
        <v>124596</v>
      </c>
      <c r="J65" s="49">
        <f t="shared" si="20"/>
        <v>136020</v>
      </c>
      <c r="K65" s="49">
        <f t="shared" si="20"/>
        <v>147795</v>
      </c>
      <c r="L65" s="49">
        <f t="shared" si="20"/>
        <v>154288</v>
      </c>
    </row>
    <row r="67" spans="1:13" x14ac:dyDescent="0.35">
      <c r="B67" s="54" t="s">
        <v>85</v>
      </c>
      <c r="C67" s="54" t="b">
        <f>C52=C65</f>
        <v>1</v>
      </c>
      <c r="D67" s="54" t="b">
        <f t="shared" ref="D67:L67" si="21">D52=D65</f>
        <v>1</v>
      </c>
      <c r="E67" s="54" t="b">
        <f t="shared" si="21"/>
        <v>1</v>
      </c>
      <c r="F67" s="54" t="b">
        <f t="shared" si="21"/>
        <v>1</v>
      </c>
      <c r="G67" s="54" t="b">
        <f t="shared" si="21"/>
        <v>1</v>
      </c>
      <c r="H67" s="54" t="b">
        <f t="shared" si="21"/>
        <v>1</v>
      </c>
      <c r="I67" s="54" t="b">
        <f t="shared" si="21"/>
        <v>1</v>
      </c>
      <c r="J67" s="54" t="b">
        <f t="shared" si="21"/>
        <v>1</v>
      </c>
      <c r="K67" s="54" t="b">
        <f t="shared" si="21"/>
        <v>1</v>
      </c>
      <c r="L67" s="54" t="b">
        <f t="shared" si="21"/>
        <v>1</v>
      </c>
    </row>
    <row r="70" spans="1:13" x14ac:dyDescent="0.35">
      <c r="A70" s="50" t="s">
        <v>84</v>
      </c>
      <c r="B70" s="53" t="s">
        <v>83</v>
      </c>
      <c r="C70" s="53"/>
      <c r="D70" s="52"/>
      <c r="E70" s="52"/>
      <c r="F70" s="52"/>
      <c r="G70" s="52"/>
      <c r="H70" s="52"/>
      <c r="I70" s="52"/>
      <c r="J70" s="52"/>
      <c r="K70" s="52"/>
      <c r="L70" s="52"/>
      <c r="M70" s="52"/>
    </row>
    <row r="71" spans="1:13" x14ac:dyDescent="0.35">
      <c r="B71" s="50" t="s">
        <v>82</v>
      </c>
    </row>
    <row r="72" spans="1:13" x14ac:dyDescent="0.35">
      <c r="B72" s="48" t="s">
        <v>81</v>
      </c>
      <c r="C72" s="51">
        <f>IFERROR('[1]Cash Flow Data'!E4,0)</f>
        <v>19340</v>
      </c>
      <c r="D72" s="51">
        <f>IFERROR('[1]Cash Flow Data'!F4,0)</f>
        <v>19963</v>
      </c>
      <c r="E72" s="51">
        <f>IFERROR('[1]Cash Flow Data'!G4,0)</f>
        <v>22126</v>
      </c>
      <c r="F72" s="51">
        <f>IFERROR('[1]Cash Flow Data'!H4,0)</f>
        <v>23920</v>
      </c>
      <c r="G72" s="51">
        <f>IFERROR('[1]Cash Flow Data'!I4,0)</f>
        <v>28845</v>
      </c>
      <c r="H72" s="51">
        <f>IFERROR('[1]Cash Flow Data'!J4,0)</f>
        <v>32921</v>
      </c>
      <c r="I72" s="51">
        <f>IFERROR('[1]Cash Flow Data'!K4,0)</f>
        <v>37605</v>
      </c>
      <c r="J72" s="51">
        <f>IFERROR('[1]Cash Flow Data'!L4,0)</f>
        <v>39523</v>
      </c>
      <c r="K72" s="51">
        <f>IFERROR('[1]Cash Flow Data'!M4,0)</f>
        <v>41591</v>
      </c>
      <c r="L72" s="51">
        <f>IFERROR('[1]Cash Flow Data'!N4,0)</f>
        <v>45273</v>
      </c>
    </row>
    <row r="73" spans="1:13" x14ac:dyDescent="0.35">
      <c r="B73" s="48" t="s">
        <v>80</v>
      </c>
      <c r="C73" s="51">
        <f>IFERROR('[1]Cash Flow Data'!E5,0)</f>
        <v>-1743</v>
      </c>
      <c r="D73" s="51">
        <f>IFERROR('[1]Cash Flow Data'!F5,0)</f>
        <v>-1523</v>
      </c>
      <c r="E73" s="51">
        <f>IFERROR('[1]Cash Flow Data'!G5,0)</f>
        <v>-2881</v>
      </c>
      <c r="F73" s="51">
        <f>IFERROR('[1]Cash Flow Data'!H5,0)</f>
        <v>-3861</v>
      </c>
      <c r="G73" s="51">
        <f>IFERROR('[1]Cash Flow Data'!I5,0)</f>
        <v>-1835</v>
      </c>
      <c r="H73" s="51">
        <f>IFERROR('[1]Cash Flow Data'!J5,0)</f>
        <v>-7937</v>
      </c>
      <c r="I73" s="51">
        <f>IFERROR('[1]Cash Flow Data'!K5,0)</f>
        <v>-7076</v>
      </c>
      <c r="J73" s="51">
        <f>IFERROR('[1]Cash Flow Data'!L5,0)</f>
        <v>-2667</v>
      </c>
      <c r="K73" s="51">
        <f>IFERROR('[1]Cash Flow Data'!M5,0)</f>
        <v>-1769</v>
      </c>
      <c r="L73" s="51">
        <f>IFERROR('[1]Cash Flow Data'!N5,0)</f>
        <v>-5177</v>
      </c>
    </row>
    <row r="74" spans="1:13" x14ac:dyDescent="0.35">
      <c r="B74" s="48" t="s">
        <v>79</v>
      </c>
      <c r="C74" s="51">
        <f>IFERROR('[1]Cash Flow Data'!E6,0)</f>
        <v>-19</v>
      </c>
      <c r="D74" s="51">
        <f>IFERROR('[1]Cash Flow Data'!F6,0)</f>
        <v>328</v>
      </c>
      <c r="E74" s="51">
        <f>IFERROR('[1]Cash Flow Data'!G6,0)</f>
        <v>916</v>
      </c>
      <c r="F74" s="51">
        <f>IFERROR('[1]Cash Flow Data'!H6,0)</f>
        <v>-373</v>
      </c>
      <c r="G74" s="51">
        <f>IFERROR('[1]Cash Flow Data'!I6,0)</f>
        <v>-245</v>
      </c>
      <c r="H74" s="51">
        <f>IFERROR('[1]Cash Flow Data'!J6,0)</f>
        <v>1489</v>
      </c>
      <c r="I74" s="51">
        <f>IFERROR('[1]Cash Flow Data'!K6,0)</f>
        <v>-279</v>
      </c>
      <c r="J74" s="51">
        <f>IFERROR('[1]Cash Flow Data'!L6,0)</f>
        <v>91</v>
      </c>
      <c r="K74" s="51">
        <f>IFERROR('[1]Cash Flow Data'!M6,0)</f>
        <v>176</v>
      </c>
      <c r="L74" s="51">
        <f>IFERROR('[1]Cash Flow Data'!N6,0)</f>
        <v>-26</v>
      </c>
    </row>
    <row r="75" spans="1:13" x14ac:dyDescent="0.35">
      <c r="B75" s="48" t="s">
        <v>78</v>
      </c>
      <c r="C75" s="51">
        <f>IFERROR('[1]Cash Flow Data'!E7,0)</f>
        <v>0</v>
      </c>
      <c r="D75" s="51">
        <f>IFERROR('[1]Cash Flow Data'!F7,0)</f>
        <v>0</v>
      </c>
      <c r="E75" s="51">
        <f>IFERROR('[1]Cash Flow Data'!G7,0)</f>
        <v>0</v>
      </c>
      <c r="F75" s="51">
        <f>IFERROR('[1]Cash Flow Data'!H7,0)</f>
        <v>0</v>
      </c>
      <c r="G75" s="51">
        <f>IFERROR('[1]Cash Flow Data'!I7,0)</f>
        <v>-534</v>
      </c>
      <c r="H75" s="51">
        <f>IFERROR('[1]Cash Flow Data'!J7,0)</f>
        <v>-1914</v>
      </c>
      <c r="I75" s="51">
        <f>IFERROR('[1]Cash Flow Data'!K7,0)</f>
        <v>-3108</v>
      </c>
      <c r="J75" s="51">
        <f>IFERROR('[1]Cash Flow Data'!L7,0)</f>
        <v>-1172</v>
      </c>
      <c r="K75" s="51">
        <f>IFERROR('[1]Cash Flow Data'!M7,0)</f>
        <v>-1024</v>
      </c>
      <c r="L75" s="51">
        <f>IFERROR('[1]Cash Flow Data'!N7,0)</f>
        <v>-2645</v>
      </c>
    </row>
    <row r="76" spans="1:13" x14ac:dyDescent="0.35">
      <c r="B76" s="48" t="s">
        <v>77</v>
      </c>
      <c r="C76" s="51">
        <f>IFERROR('[1]Cash Flow Data'!E8,0)</f>
        <v>-394</v>
      </c>
      <c r="D76" s="51">
        <f>IFERROR('[1]Cash Flow Data'!F8,0)</f>
        <v>1279</v>
      </c>
      <c r="E76" s="51">
        <f>IFERROR('[1]Cash Flow Data'!G8,0)</f>
        <v>1512</v>
      </c>
      <c r="F76" s="51">
        <f>IFERROR('[1]Cash Flow Data'!H8,0)</f>
        <v>1867</v>
      </c>
      <c r="G76" s="51">
        <f>IFERROR('[1]Cash Flow Data'!I8,0)</f>
        <v>3382</v>
      </c>
      <c r="H76" s="51">
        <f>IFERROR('[1]Cash Flow Data'!J8,0)</f>
        <v>6938</v>
      </c>
      <c r="I76" s="51">
        <f>IFERROR('[1]Cash Flow Data'!K8,0)</f>
        <v>4119</v>
      </c>
      <c r="J76" s="51">
        <f>IFERROR('[1]Cash Flow Data'!L8,0)</f>
        <v>-1334</v>
      </c>
      <c r="K76" s="51">
        <f>IFERROR('[1]Cash Flow Data'!M8,0)</f>
        <v>2322</v>
      </c>
      <c r="L76" s="51">
        <f>IFERROR('[1]Cash Flow Data'!N8,0)</f>
        <v>5209</v>
      </c>
    </row>
    <row r="77" spans="1:13" x14ac:dyDescent="0.35">
      <c r="B77" s="48" t="s">
        <v>76</v>
      </c>
      <c r="C77" s="51">
        <f>IFERROR('[1]Cash Flow Data'!E9,0)</f>
        <v>-2156</v>
      </c>
      <c r="D77" s="51">
        <f>IFERROR('[1]Cash Flow Data'!F9,0)</f>
        <v>84</v>
      </c>
      <c r="E77" s="51">
        <f>IFERROR('[1]Cash Flow Data'!G9,0)</f>
        <v>-453</v>
      </c>
      <c r="F77" s="51">
        <f>IFERROR('[1]Cash Flow Data'!H9,0)</f>
        <v>-2367</v>
      </c>
      <c r="G77" s="51">
        <f>IFERROR('[1]Cash Flow Data'!I9,0)</f>
        <v>768</v>
      </c>
      <c r="H77" s="51">
        <f>IFERROR('[1]Cash Flow Data'!J9,0)</f>
        <v>-1424</v>
      </c>
      <c r="I77" s="51">
        <f>IFERROR('[1]Cash Flow Data'!K9,0)</f>
        <v>-6344</v>
      </c>
      <c r="J77" s="51">
        <f>IFERROR('[1]Cash Flow Data'!L9,0)</f>
        <v>-5082</v>
      </c>
      <c r="K77" s="51">
        <f>IFERROR('[1]Cash Flow Data'!M9,0)</f>
        <v>-295</v>
      </c>
      <c r="L77" s="51">
        <f>IFERROR('[1]Cash Flow Data'!N9,0)</f>
        <v>-2639</v>
      </c>
    </row>
    <row r="78" spans="1:13" x14ac:dyDescent="0.35">
      <c r="B78" s="48" t="s">
        <v>75</v>
      </c>
      <c r="C78" s="51">
        <f>IFERROR('[1]Cash Flow Data'!E10,0)</f>
        <v>-5653</v>
      </c>
      <c r="D78" s="51">
        <f>IFERROR('[1]Cash Flow Data'!F10,0)</f>
        <v>-6829</v>
      </c>
      <c r="E78" s="51">
        <f>IFERROR('[1]Cash Flow Data'!G10,0)</f>
        <v>-6832</v>
      </c>
      <c r="F78" s="51">
        <f>IFERROR('[1]Cash Flow Data'!H10,0)</f>
        <v>-4550</v>
      </c>
      <c r="G78" s="51">
        <f>IFERROR('[1]Cash Flow Data'!I10,0)</f>
        <v>-6389</v>
      </c>
      <c r="H78" s="51">
        <f>IFERROR('[1]Cash Flow Data'!J10,0)</f>
        <v>-7612</v>
      </c>
      <c r="I78" s="51">
        <f>IFERROR('[1]Cash Flow Data'!K10,0)</f>
        <v>-8794</v>
      </c>
      <c r="J78" s="51">
        <f>IFERROR('[1]Cash Flow Data'!L10,0)</f>
        <v>-9231</v>
      </c>
      <c r="K78" s="51">
        <f>IFERROR('[1]Cash Flow Data'!M10,0)</f>
        <v>-5602</v>
      </c>
      <c r="L78" s="51">
        <f>IFERROR('[1]Cash Flow Data'!N10,0)</f>
        <v>-8648</v>
      </c>
    </row>
    <row r="79" spans="1:13" x14ac:dyDescent="0.35">
      <c r="C79" s="51"/>
      <c r="D79" s="51"/>
      <c r="E79" s="51"/>
      <c r="F79" s="51"/>
      <c r="G79" s="51"/>
      <c r="H79" s="51"/>
      <c r="I79" s="51"/>
      <c r="J79" s="51"/>
      <c r="K79" s="51"/>
      <c r="L79" s="51"/>
    </row>
    <row r="80" spans="1:13" x14ac:dyDescent="0.35">
      <c r="B80" s="50" t="s">
        <v>74</v>
      </c>
      <c r="C80" s="49">
        <f>IFERROR(SUM(C72+C77+C78),0)</f>
        <v>11531</v>
      </c>
      <c r="D80" s="49">
        <f>IFERROR(SUM(D72+D77+D78),0)</f>
        <v>13218</v>
      </c>
      <c r="E80" s="49">
        <f t="shared" ref="E80:K80" si="22">IFERROR(SUM(E72+E77+E78),0)</f>
        <v>14841</v>
      </c>
      <c r="F80" s="49">
        <f t="shared" si="22"/>
        <v>17003</v>
      </c>
      <c r="G80" s="49">
        <f t="shared" si="22"/>
        <v>23224</v>
      </c>
      <c r="H80" s="49">
        <f t="shared" si="22"/>
        <v>23885</v>
      </c>
      <c r="I80" s="49">
        <f t="shared" si="22"/>
        <v>22467</v>
      </c>
      <c r="J80" s="49">
        <f t="shared" si="22"/>
        <v>25210</v>
      </c>
      <c r="K80" s="49">
        <f t="shared" si="22"/>
        <v>35694</v>
      </c>
      <c r="L80" s="49">
        <f>IFERROR(SUM(L72+L77+L78),0)</f>
        <v>33986</v>
      </c>
    </row>
    <row r="82" spans="2:12" x14ac:dyDescent="0.35">
      <c r="B82" s="50" t="s">
        <v>73</v>
      </c>
    </row>
    <row r="83" spans="2:12" x14ac:dyDescent="0.35">
      <c r="B83" s="48" t="s">
        <v>72</v>
      </c>
      <c r="C83" s="51">
        <f>IFERROR('[1]Cash Flow Data'!E12,0)</f>
        <v>-2760</v>
      </c>
      <c r="D83" s="51">
        <f>IFERROR('[1]Cash Flow Data'!F12,0)</f>
        <v>-1998</v>
      </c>
      <c r="E83" s="51">
        <f>IFERROR('[1]Cash Flow Data'!G12,0)</f>
        <v>-2445</v>
      </c>
      <c r="F83" s="51">
        <f>IFERROR('[1]Cash Flow Data'!H12,0)</f>
        <v>-3307</v>
      </c>
      <c r="G83" s="51">
        <f>IFERROR('[1]Cash Flow Data'!I12,0)</f>
        <v>-2107</v>
      </c>
      <c r="H83" s="51">
        <f>IFERROR('[1]Cash Flow Data'!J12,0)</f>
        <v>-2161</v>
      </c>
      <c r="I83" s="51">
        <f>IFERROR('[1]Cash Flow Data'!K12,0)</f>
        <v>-2579</v>
      </c>
      <c r="J83" s="51">
        <f>IFERROR('[1]Cash Flow Data'!L12,0)</f>
        <v>-2201</v>
      </c>
      <c r="K83" s="51">
        <f>IFERROR('[1]Cash Flow Data'!M12,0)</f>
        <v>-2237</v>
      </c>
      <c r="L83" s="51">
        <f>IFERROR('[1]Cash Flow Data'!N12,0)</f>
        <v>-2727</v>
      </c>
    </row>
    <row r="84" spans="2:12" x14ac:dyDescent="0.35">
      <c r="B84" s="48" t="s">
        <v>71</v>
      </c>
      <c r="C84" s="51">
        <f>IFERROR('[1]Cash Flow Data'!E13,0)</f>
        <v>-66410</v>
      </c>
      <c r="D84" s="51">
        <f>IFERROR('[1]Cash Flow Data'!F13,0)</f>
        <v>-69159</v>
      </c>
      <c r="E84" s="51">
        <f>IFERROR('[1]Cash Flow Data'!G13,0)</f>
        <v>-79410</v>
      </c>
      <c r="F84" s="51">
        <f>IFERROR('[1]Cash Flow Data'!H13,0)</f>
        <v>-37482</v>
      </c>
      <c r="G84" s="51">
        <f>IFERROR('[1]Cash Flow Data'!I13,0)</f>
        <v>-46738</v>
      </c>
      <c r="H84" s="51">
        <f>IFERROR('[1]Cash Flow Data'!J13,0)</f>
        <v>-59951</v>
      </c>
      <c r="I84" s="51">
        <f>IFERROR('[1]Cash Flow Data'!K13,0)</f>
        <v>-75800</v>
      </c>
      <c r="J84" s="51">
        <f>IFERROR('[1]Cash Flow Data'!L13,0)</f>
        <v>-78092</v>
      </c>
      <c r="K84" s="51">
        <f>IFERROR('[1]Cash Flow Data'!M13,0)</f>
        <v>-82742</v>
      </c>
      <c r="L84" s="51">
        <f>IFERROR('[1]Cash Flow Data'!N13,0)</f>
        <v>-82617</v>
      </c>
    </row>
    <row r="85" spans="2:12" x14ac:dyDescent="0.35">
      <c r="B85" s="48" t="s">
        <v>70</v>
      </c>
      <c r="C85" s="51">
        <f>IFERROR('[1]Cash Flow Data'!E14,0)</f>
        <v>52048</v>
      </c>
      <c r="D85" s="51">
        <f>IFERROR('[1]Cash Flow Data'!F14,0)</f>
        <v>74003</v>
      </c>
      <c r="E85" s="51">
        <f>IFERROR('[1]Cash Flow Data'!G14,0)</f>
        <v>78098</v>
      </c>
      <c r="F85" s="51">
        <f>IFERROR('[1]Cash Flow Data'!H14,0)</f>
        <v>38861</v>
      </c>
      <c r="G85" s="51">
        <f>IFERROR('[1]Cash Flow Data'!I14,0)</f>
        <v>40381</v>
      </c>
      <c r="H85" s="51">
        <f>IFERROR('[1]Cash Flow Data'!J14,0)</f>
        <v>57356</v>
      </c>
      <c r="I85" s="51">
        <f>IFERROR('[1]Cash Flow Data'!K14,0)</f>
        <v>76722</v>
      </c>
      <c r="J85" s="51">
        <f>IFERROR('[1]Cash Flow Data'!L14,0)</f>
        <v>72930</v>
      </c>
      <c r="K85" s="51">
        <f>IFERROR('[1]Cash Flow Data'!M14,0)</f>
        <v>84877</v>
      </c>
      <c r="L85" s="51">
        <f>IFERROR('[1]Cash Flow Data'!N14,0)</f>
        <v>89699</v>
      </c>
    </row>
    <row r="86" spans="2:12" x14ac:dyDescent="0.35">
      <c r="B86" s="48" t="s">
        <v>69</v>
      </c>
      <c r="C86" s="51">
        <f>IFERROR('[1]Cash Flow Data'!E15,0)</f>
        <v>0</v>
      </c>
      <c r="D86" s="51">
        <f>IFERROR('[1]Cash Flow Data'!F15,0)</f>
        <v>0</v>
      </c>
      <c r="E86" s="51">
        <f>IFERROR('[1]Cash Flow Data'!G15,0)</f>
        <v>0</v>
      </c>
      <c r="F86" s="51">
        <f>IFERROR('[1]Cash Flow Data'!H15,0)</f>
        <v>0</v>
      </c>
      <c r="G86" s="51">
        <f>IFERROR('[1]Cash Flow Data'!I15,0)</f>
        <v>0</v>
      </c>
      <c r="H86" s="51">
        <f>IFERROR('[1]Cash Flow Data'!J15,0)</f>
        <v>0</v>
      </c>
      <c r="I86" s="51">
        <f>IFERROR('[1]Cash Flow Data'!K15,0)</f>
        <v>0</v>
      </c>
      <c r="J86" s="51">
        <f>IFERROR('[1]Cash Flow Data'!L15,0)</f>
        <v>0</v>
      </c>
      <c r="K86" s="51">
        <f>IFERROR('[1]Cash Flow Data'!M15,0)</f>
        <v>0</v>
      </c>
      <c r="L86" s="51">
        <f>IFERROR('[1]Cash Flow Data'!N15,0)</f>
        <v>0</v>
      </c>
    </row>
    <row r="87" spans="2:12" x14ac:dyDescent="0.35">
      <c r="B87" s="48" t="s">
        <v>68</v>
      </c>
      <c r="C87" s="51">
        <f>IFERROR('[1]Cash Flow Data'!E16,0)</f>
        <v>2753</v>
      </c>
      <c r="D87" s="51">
        <f>IFERROR('[1]Cash Flow Data'!F16,0)</f>
        <v>1768</v>
      </c>
      <c r="E87" s="51">
        <f>IFERROR('[1]Cash Flow Data'!G16,0)</f>
        <v>1557</v>
      </c>
      <c r="F87" s="51">
        <f>IFERROR('[1]Cash Flow Data'!H16,0)</f>
        <v>1929</v>
      </c>
      <c r="G87" s="51">
        <f>IFERROR('[1]Cash Flow Data'!I16,0)</f>
        <v>1418</v>
      </c>
      <c r="H87" s="51">
        <f>IFERROR('[1]Cash Flow Data'!J16,0)</f>
        <v>1898</v>
      </c>
      <c r="I87" s="51">
        <f>IFERROR('[1]Cash Flow Data'!K16,0)</f>
        <v>1525</v>
      </c>
      <c r="J87" s="51">
        <f>IFERROR('[1]Cash Flow Data'!L16,0)</f>
        <v>1768</v>
      </c>
      <c r="K87" s="51">
        <f>IFERROR('[1]Cash Flow Data'!M16,0)</f>
        <v>2040</v>
      </c>
      <c r="L87" s="51">
        <f>IFERROR('[1]Cash Flow Data'!N16,0)</f>
        <v>2713</v>
      </c>
    </row>
    <row r="88" spans="2:12" x14ac:dyDescent="0.35">
      <c r="B88" s="48" t="s">
        <v>67</v>
      </c>
      <c r="C88" s="51">
        <f>IFERROR('[1]Cash Flow Data'!E17,0)</f>
        <v>0</v>
      </c>
      <c r="D88" s="51">
        <f>IFERROR('[1]Cash Flow Data'!F17,0)</f>
        <v>0</v>
      </c>
      <c r="E88" s="51">
        <f>IFERROR('[1]Cash Flow Data'!G17,0)</f>
        <v>0</v>
      </c>
      <c r="F88" s="51">
        <f>IFERROR('[1]Cash Flow Data'!H17,0)</f>
        <v>0</v>
      </c>
      <c r="G88" s="51">
        <f>IFERROR('[1]Cash Flow Data'!I17,0)</f>
        <v>0</v>
      </c>
      <c r="H88" s="51">
        <f>IFERROR('[1]Cash Flow Data'!J17,0)</f>
        <v>0</v>
      </c>
      <c r="I88" s="51">
        <f>IFERROR('[1]Cash Flow Data'!K17,0)</f>
        <v>0</v>
      </c>
      <c r="J88" s="51">
        <f>IFERROR('[1]Cash Flow Data'!L17,0)</f>
        <v>0</v>
      </c>
      <c r="K88" s="51">
        <f>IFERROR('[1]Cash Flow Data'!M17,0)</f>
        <v>0</v>
      </c>
      <c r="L88" s="51">
        <f>IFERROR('[1]Cash Flow Data'!N17,0)</f>
        <v>0</v>
      </c>
    </row>
    <row r="89" spans="2:12" x14ac:dyDescent="0.35">
      <c r="B89" s="48" t="s">
        <v>66</v>
      </c>
      <c r="C89" s="51">
        <f>IFERROR('[1]Cash Flow Data'!E18,0)</f>
        <v>-164</v>
      </c>
      <c r="D89" s="51">
        <f>IFERROR('[1]Cash Flow Data'!F18,0)</f>
        <v>-130</v>
      </c>
      <c r="E89" s="51">
        <f>IFERROR('[1]Cash Flow Data'!G18,0)</f>
        <v>-24</v>
      </c>
      <c r="F89" s="51">
        <f>IFERROR('[1]Cash Flow Data'!H18,0)</f>
        <v>-108</v>
      </c>
      <c r="G89" s="51">
        <f>IFERROR('[1]Cash Flow Data'!I18,0)</f>
        <v>0</v>
      </c>
      <c r="H89" s="51">
        <f>IFERROR('[1]Cash Flow Data'!J18,0)</f>
        <v>0</v>
      </c>
      <c r="I89" s="51">
        <f>IFERROR('[1]Cash Flow Data'!K18,0)</f>
        <v>0</v>
      </c>
      <c r="J89" s="51">
        <f>IFERROR('[1]Cash Flow Data'!L18,0)</f>
        <v>0</v>
      </c>
      <c r="K89" s="51">
        <f>IFERROR('[1]Cash Flow Data'!M18,0)</f>
        <v>0</v>
      </c>
      <c r="L89" s="51">
        <f>IFERROR('[1]Cash Flow Data'!N18,0)</f>
        <v>0</v>
      </c>
    </row>
    <row r="90" spans="2:12" x14ac:dyDescent="0.35">
      <c r="B90" s="48" t="s">
        <v>65</v>
      </c>
      <c r="C90" s="51">
        <f>IFERROR('[1]Cash Flow Data'!E19,0)</f>
        <v>-131</v>
      </c>
      <c r="D90" s="51">
        <f>IFERROR('[1]Cash Flow Data'!F19,0)</f>
        <v>49</v>
      </c>
      <c r="E90" s="51">
        <f>IFERROR('[1]Cash Flow Data'!G19,0)</f>
        <v>1592</v>
      </c>
      <c r="F90" s="51">
        <f>IFERROR('[1]Cash Flow Data'!H19,0)</f>
        <v>-224</v>
      </c>
      <c r="G90" s="51">
        <f>IFERROR('[1]Cash Flow Data'!I19,0)</f>
        <v>-327</v>
      </c>
      <c r="H90" s="51">
        <f>IFERROR('[1]Cash Flow Data'!J19,0)</f>
        <v>-3627</v>
      </c>
      <c r="I90" s="51">
        <f>IFERROR('[1]Cash Flow Data'!K19,0)</f>
        <v>-939</v>
      </c>
      <c r="J90" s="51">
        <f>IFERROR('[1]Cash Flow Data'!L19,0)</f>
        <v>502</v>
      </c>
      <c r="K90" s="51">
        <f>IFERROR('[1]Cash Flow Data'!M19,0)</f>
        <v>-3802</v>
      </c>
      <c r="L90" s="51">
        <f>IFERROR('[1]Cash Flow Data'!N19,0)</f>
        <v>-3522</v>
      </c>
    </row>
    <row r="92" spans="2:12" x14ac:dyDescent="0.35">
      <c r="B92" s="50" t="s">
        <v>64</v>
      </c>
      <c r="C92" s="49">
        <f>IFERROR(SUM(C83:C90),0)</f>
        <v>-14664</v>
      </c>
      <c r="D92" s="49">
        <f t="shared" ref="D92:L92" si="23">IFERROR(SUM(D83:D90),0)</f>
        <v>4533</v>
      </c>
      <c r="E92" s="49">
        <f t="shared" si="23"/>
        <v>-632</v>
      </c>
      <c r="F92" s="49">
        <f t="shared" si="23"/>
        <v>-331</v>
      </c>
      <c r="G92" s="49">
        <f t="shared" si="23"/>
        <v>-7373</v>
      </c>
      <c r="H92" s="49">
        <f t="shared" si="23"/>
        <v>-6485</v>
      </c>
      <c r="I92" s="49">
        <f t="shared" si="23"/>
        <v>-1071</v>
      </c>
      <c r="J92" s="49">
        <f t="shared" si="23"/>
        <v>-5093</v>
      </c>
      <c r="K92" s="49">
        <f t="shared" si="23"/>
        <v>-1864</v>
      </c>
      <c r="L92" s="49">
        <f t="shared" si="23"/>
        <v>3546</v>
      </c>
    </row>
    <row r="94" spans="2:12" x14ac:dyDescent="0.35">
      <c r="B94" s="50" t="s">
        <v>63</v>
      </c>
    </row>
    <row r="95" spans="2:12" x14ac:dyDescent="0.35">
      <c r="B95" s="48" t="s">
        <v>62</v>
      </c>
      <c r="C95" s="51">
        <f>IFERROR('[1]Cash Flow Data'!E21,0)</f>
        <v>0</v>
      </c>
      <c r="D95" s="51">
        <f>IFERROR('[1]Cash Flow Data'!F21,0)</f>
        <v>5</v>
      </c>
      <c r="E95" s="51">
        <f>IFERROR('[1]Cash Flow Data'!G21,0)</f>
        <v>6</v>
      </c>
      <c r="F95" s="51">
        <f>IFERROR('[1]Cash Flow Data'!H21,0)</f>
        <v>6</v>
      </c>
      <c r="G95" s="51">
        <f>IFERROR('[1]Cash Flow Data'!I21,0)</f>
        <v>15</v>
      </c>
      <c r="H95" s="51">
        <f>IFERROR('[1]Cash Flow Data'!J21,0)</f>
        <v>21</v>
      </c>
      <c r="I95" s="51">
        <f>IFERROR('[1]Cash Flow Data'!K21,0)</f>
        <v>35</v>
      </c>
      <c r="J95" s="51">
        <f>IFERROR('[1]Cash Flow Data'!L21,0)</f>
        <v>5</v>
      </c>
      <c r="K95" s="51">
        <f>IFERROR('[1]Cash Flow Data'!M21,0)</f>
        <v>6</v>
      </c>
      <c r="L95" s="51">
        <f>IFERROR('[1]Cash Flow Data'!N21,0)</f>
        <v>2</v>
      </c>
    </row>
    <row r="96" spans="2:12" x14ac:dyDescent="0.35">
      <c r="B96" s="48" t="s">
        <v>61</v>
      </c>
      <c r="C96" s="51">
        <f>IFERROR('[1]Cash Flow Data'!E22,0)</f>
        <v>0</v>
      </c>
      <c r="D96" s="51">
        <f>IFERROR('[1]Cash Flow Data'!F22,0)</f>
        <v>0</v>
      </c>
      <c r="E96" s="51">
        <f>IFERROR('[1]Cash Flow Data'!G22,0)</f>
        <v>0</v>
      </c>
      <c r="F96" s="51">
        <f>IFERROR('[1]Cash Flow Data'!H22,0)</f>
        <v>0</v>
      </c>
      <c r="G96" s="51">
        <f>IFERROR('[1]Cash Flow Data'!I22,0)</f>
        <v>0</v>
      </c>
      <c r="H96" s="51">
        <f>IFERROR('[1]Cash Flow Data'!J22,0)</f>
        <v>0</v>
      </c>
      <c r="I96" s="51">
        <f>IFERROR('[1]Cash Flow Data'!K22,0)</f>
        <v>0</v>
      </c>
      <c r="J96" s="51">
        <f>IFERROR('[1]Cash Flow Data'!L22,0)</f>
        <v>0</v>
      </c>
      <c r="K96" s="51">
        <f>IFERROR('[1]Cash Flow Data'!M22,0)</f>
        <v>-985</v>
      </c>
      <c r="L96" s="51">
        <f>IFERROR('[1]Cash Flow Data'!N22,0)</f>
        <v>0</v>
      </c>
    </row>
    <row r="97" spans="2:12" x14ac:dyDescent="0.35">
      <c r="B97" s="48" t="s">
        <v>60</v>
      </c>
      <c r="C97" s="51">
        <f>IFERROR('[1]Cash Flow Data'!E23,0)</f>
        <v>-6939</v>
      </c>
      <c r="D97" s="51">
        <f>IFERROR('[1]Cash Flow Data'!F23,0)</f>
        <v>-7464</v>
      </c>
      <c r="E97" s="51">
        <f>IFERROR('[1]Cash Flow Data'!G23,0)</f>
        <v>-13705</v>
      </c>
      <c r="F97" s="51">
        <f>IFERROR('[1]Cash Flow Data'!H23,0)</f>
        <v>-9548</v>
      </c>
      <c r="G97" s="51">
        <f>IFERROR('[1]Cash Flow Data'!I23,0)</f>
        <v>-9137</v>
      </c>
      <c r="H97" s="51">
        <f>IFERROR('[1]Cash Flow Data'!J23,0)</f>
        <v>-12731</v>
      </c>
      <c r="I97" s="51">
        <f>IFERROR('[1]Cash Flow Data'!K23,0)</f>
        <v>-13653</v>
      </c>
      <c r="J97" s="51">
        <f>IFERROR('[1]Cash Flow Data'!L23,0)</f>
        <v>-14731</v>
      </c>
      <c r="K97" s="51">
        <f>IFERROR('[1]Cash Flow Data'!M23,0)</f>
        <v>-20289</v>
      </c>
      <c r="L97" s="51">
        <f>IFERROR('[1]Cash Flow Data'!N23,0)</f>
        <v>-18656</v>
      </c>
    </row>
    <row r="98" spans="2:12" x14ac:dyDescent="0.35">
      <c r="B98" s="48" t="s">
        <v>59</v>
      </c>
      <c r="C98" s="51">
        <f>IFERROR('[1]Cash Flow Data'!E24,0)</f>
        <v>0</v>
      </c>
      <c r="D98" s="51">
        <f>IFERROR('[1]Cash Flow Data'!F24,0)</f>
        <v>0</v>
      </c>
      <c r="E98" s="51">
        <f>IFERROR('[1]Cash Flow Data'!G24,0)</f>
        <v>0</v>
      </c>
      <c r="F98" s="51">
        <f>IFERROR('[1]Cash Flow Data'!H24,0)</f>
        <v>-571</v>
      </c>
      <c r="G98" s="51">
        <f>IFERROR('[1]Cash Flow Data'!I24,0)</f>
        <v>-698</v>
      </c>
      <c r="H98" s="51">
        <f>IFERROR('[1]Cash Flow Data'!J24,0)</f>
        <v>-915</v>
      </c>
      <c r="I98" s="51">
        <f>IFERROR('[1]Cash Flow Data'!K24,0)</f>
        <v>-1231</v>
      </c>
      <c r="J98" s="51">
        <f>IFERROR('[1]Cash Flow Data'!L24,0)</f>
        <v>-2024</v>
      </c>
      <c r="K98" s="51">
        <f>IFERROR('[1]Cash Flow Data'!M24,0)</f>
        <v>-2355</v>
      </c>
      <c r="L98" s="51">
        <f>IFERROR('[1]Cash Flow Data'!N24,0)</f>
        <v>-2824</v>
      </c>
    </row>
    <row r="99" spans="2:12" x14ac:dyDescent="0.35">
      <c r="B99" s="48" t="s">
        <v>58</v>
      </c>
      <c r="C99" s="51">
        <f>IFERROR('[1]Cash Flow Data'!E25,0)</f>
        <v>0</v>
      </c>
      <c r="D99" s="51">
        <f>IFERROR('[1]Cash Flow Data'!F25,0)</f>
        <v>-13046</v>
      </c>
      <c r="E99" s="51">
        <f>IFERROR('[1]Cash Flow Data'!G25,0)</f>
        <v>-813</v>
      </c>
      <c r="F99" s="51">
        <f>IFERROR('[1]Cash Flow Data'!H25,0)</f>
        <v>-7478</v>
      </c>
      <c r="G99" s="51">
        <f>IFERROR('[1]Cash Flow Data'!I25,0)</f>
        <v>34</v>
      </c>
      <c r="H99" s="51">
        <f>IFERROR('[1]Cash Flow Data'!J25,0)</f>
        <v>-11017</v>
      </c>
      <c r="I99" s="51">
        <f>IFERROR('[1]Cash Flow Data'!K25,0)</f>
        <v>-11846</v>
      </c>
      <c r="J99" s="51">
        <f>IFERROR('[1]Cash Flow Data'!L25,0)</f>
        <v>-754</v>
      </c>
      <c r="K99" s="51">
        <f>IFERROR('[1]Cash Flow Data'!M25,0)</f>
        <v>-538</v>
      </c>
      <c r="L99" s="51">
        <f>IFERROR('[1]Cash Flow Data'!N25,0)</f>
        <v>-18308</v>
      </c>
    </row>
    <row r="101" spans="2:12" x14ac:dyDescent="0.35">
      <c r="B101" s="50" t="s">
        <v>57</v>
      </c>
      <c r="C101" s="49">
        <f t="shared" ref="C101:L101" si="24">IFERROR(SUM(C95:C99),0)</f>
        <v>-6939</v>
      </c>
      <c r="D101" s="49">
        <f t="shared" si="24"/>
        <v>-20505</v>
      </c>
      <c r="E101" s="49">
        <f t="shared" si="24"/>
        <v>-14512</v>
      </c>
      <c r="F101" s="49">
        <f t="shared" si="24"/>
        <v>-17591</v>
      </c>
      <c r="G101" s="49">
        <f t="shared" si="24"/>
        <v>-9786</v>
      </c>
      <c r="H101" s="49">
        <f t="shared" si="24"/>
        <v>-24642</v>
      </c>
      <c r="I101" s="49">
        <f t="shared" si="24"/>
        <v>-26695</v>
      </c>
      <c r="J101" s="49">
        <f t="shared" si="24"/>
        <v>-17504</v>
      </c>
      <c r="K101" s="49">
        <f t="shared" si="24"/>
        <v>-24161</v>
      </c>
      <c r="L101" s="49">
        <f t="shared" si="24"/>
        <v>-39786</v>
      </c>
    </row>
    <row r="103" spans="2:12" x14ac:dyDescent="0.35">
      <c r="B103" s="50" t="s">
        <v>56</v>
      </c>
      <c r="C103" s="49">
        <f t="shared" ref="C103:L103" si="25">IFERROR(SUM(C80+C92+C101),0)</f>
        <v>-10072</v>
      </c>
      <c r="D103" s="49">
        <f t="shared" si="25"/>
        <v>-2754</v>
      </c>
      <c r="E103" s="49">
        <f t="shared" si="25"/>
        <v>-303</v>
      </c>
      <c r="F103" s="49">
        <f t="shared" si="25"/>
        <v>-919</v>
      </c>
      <c r="G103" s="49">
        <f t="shared" si="25"/>
        <v>6065</v>
      </c>
      <c r="H103" s="49">
        <f t="shared" si="25"/>
        <v>-7242</v>
      </c>
      <c r="I103" s="49">
        <f t="shared" si="25"/>
        <v>-5299</v>
      </c>
      <c r="J103" s="49">
        <f t="shared" si="25"/>
        <v>2613</v>
      </c>
      <c r="K103" s="49">
        <f t="shared" si="25"/>
        <v>9669</v>
      </c>
      <c r="L103" s="49">
        <f t="shared" si="25"/>
        <v>-2254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C8:L8 M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F51-016D-4729-8763-1791ACB567F8}">
  <dimension ref="B2:O41"/>
  <sheetViews>
    <sheetView showGridLines="0" workbookViewId="0">
      <pane ySplit="1" topLeftCell="A2" activePane="bottomLeft" state="frozen"/>
      <selection pane="bottomLeft" activeCell="R14" sqref="R14"/>
    </sheetView>
  </sheetViews>
  <sheetFormatPr defaultRowHeight="14.5" x14ac:dyDescent="0.35"/>
  <cols>
    <col min="1" max="1" width="1.81640625" customWidth="1"/>
    <col min="2" max="2" width="24.26953125" bestFit="1" customWidth="1"/>
    <col min="3" max="3" width="7.7265625" style="7" bestFit="1" customWidth="1"/>
    <col min="4" max="4" width="7.08984375" style="7" bestFit="1" customWidth="1"/>
    <col min="5" max="7" width="7.7265625" style="7" bestFit="1" customWidth="1"/>
    <col min="8" max="9" width="8.08984375" style="7" bestFit="1" customWidth="1"/>
    <col min="10" max="11" width="7.7265625" style="7" bestFit="1" customWidth="1"/>
    <col min="12" max="12" width="8.08984375" style="7" bestFit="1" customWidth="1"/>
    <col min="14" max="14" width="7.7265625" style="7" customWidth="1"/>
    <col min="15" max="15" width="11.1796875" style="7" customWidth="1"/>
  </cols>
  <sheetData>
    <row r="2" spans="2:15" x14ac:dyDescent="0.35">
      <c r="B2" s="137" t="str">
        <f>"Ratio Analysis-"&amp;'Data Sheet'!B1</f>
        <v>Ratio Analysis-INFOSYS LTD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28"/>
      <c r="O2" s="128"/>
    </row>
    <row r="3" spans="2:15" x14ac:dyDescent="0.35">
      <c r="B3" s="61" t="s">
        <v>128</v>
      </c>
      <c r="C3" s="132">
        <f>'Data Sheet'!B16</f>
        <v>42825</v>
      </c>
      <c r="D3" s="132">
        <f>'Data Sheet'!C16</f>
        <v>43190</v>
      </c>
      <c r="E3" s="132">
        <f>'Data Sheet'!D16</f>
        <v>43555</v>
      </c>
      <c r="F3" s="132">
        <f>'Data Sheet'!E16</f>
        <v>43921</v>
      </c>
      <c r="G3" s="132">
        <f>'Data Sheet'!F16</f>
        <v>44286</v>
      </c>
      <c r="H3" s="132">
        <f>'Data Sheet'!G16</f>
        <v>44651</v>
      </c>
      <c r="I3" s="132">
        <f>'Data Sheet'!H16</f>
        <v>45016</v>
      </c>
      <c r="J3" s="132">
        <f>'Data Sheet'!I16</f>
        <v>45382</v>
      </c>
      <c r="K3" s="132">
        <f>'Data Sheet'!J16</f>
        <v>45747</v>
      </c>
      <c r="L3" s="132">
        <f>'Data Sheet'!K16</f>
        <v>46112</v>
      </c>
      <c r="M3" s="126"/>
      <c r="N3" s="129" t="s">
        <v>274</v>
      </c>
      <c r="O3" s="129" t="s">
        <v>23</v>
      </c>
    </row>
    <row r="5" spans="2:15" x14ac:dyDescent="0.35">
      <c r="B5" t="s">
        <v>247</v>
      </c>
      <c r="D5" s="10">
        <f>IFERROR(HistoricalFS!D6,0)</f>
        <v>2.9758775772443125E-2</v>
      </c>
      <c r="E5" s="10">
        <f>IFERROR(HistoricalFS!E6,0)</f>
        <v>0.17232920223476356</v>
      </c>
      <c r="F5" s="10">
        <f>IFERROR(HistoricalFS!F6,0)</f>
        <v>9.8167523435137571E-2</v>
      </c>
      <c r="G5" s="10">
        <f>IFERROR(HistoricalFS!G6,0)</f>
        <v>0.10662951173574475</v>
      </c>
      <c r="H5" s="10">
        <f>IFERROR(HistoricalFS!H6,0)</f>
        <v>0.21069551715900947</v>
      </c>
      <c r="I5" s="10">
        <f>IFERROR(HistoricalFS!I6,0)</f>
        <v>0.20655864387829759</v>
      </c>
      <c r="J5" s="10">
        <f>IFERROR(HistoricalFS!J6,0)</f>
        <v>4.7033733741236095E-2</v>
      </c>
      <c r="K5" s="10">
        <f>IFERROR(HistoricalFS!K6,0)</f>
        <v>6.0649443612936782E-2</v>
      </c>
      <c r="L5" s="10">
        <f>IFERROR(HistoricalFS!L6,0)</f>
        <v>9.6079514080618544E-2</v>
      </c>
      <c r="N5" s="9">
        <f>AVERAGE(D5:L5)</f>
        <v>0.11421131840557638</v>
      </c>
      <c r="O5" s="9">
        <f>MEDIAN(D5:L5)</f>
        <v>9.8167523435137571E-2</v>
      </c>
    </row>
    <row r="6" spans="2:15" x14ac:dyDescent="0.35">
      <c r="B6" t="s">
        <v>248</v>
      </c>
      <c r="D6" s="10">
        <f>IFERROR(HistoricalFS!D17/HistoricalFS!C17-1,0)</f>
        <v>1.1717910126854525E-2</v>
      </c>
      <c r="E6" s="10">
        <f>IFERROR(HistoricalFS!E17/HistoricalFS!D17-1,0)</f>
        <v>7.1618318988417862E-2</v>
      </c>
      <c r="F6" s="10">
        <f>IFERROR(HistoricalFS!F17/HistoricalFS!E17-1,0)</f>
        <v>0.10396628656420437</v>
      </c>
      <c r="G6" s="10">
        <f>IFERROR(HistoricalFS!G17/HistoricalFS!F17-1,0)</f>
        <v>0.25248125028068436</v>
      </c>
      <c r="H6" s="10">
        <f>IFERROR(HistoricalFS!H17/HistoricalFS!G17-1,0)</f>
        <v>0.12915486392484499</v>
      </c>
      <c r="I6" s="10">
        <f>IFERROR(HistoricalFS!I17/HistoricalFS!H17-1,0)</f>
        <v>0.1155568257597408</v>
      </c>
      <c r="J6" s="10">
        <f>IFERROR(HistoricalFS!J17/HistoricalFS!I17-1,0)</f>
        <v>3.6863079988613823E-2</v>
      </c>
      <c r="K6" s="10">
        <f>IFERROR(HistoricalFS!K17/HistoricalFS!J17-1,0)</f>
        <v>7.7172271791352109E-2</v>
      </c>
      <c r="L6" s="10">
        <f>IFERROR(HistoricalFS!L17/HistoricalFS!K17-1,0)</f>
        <v>7.758181262106234E-2</v>
      </c>
      <c r="N6" s="9">
        <f t="shared" ref="N6:N41" si="0">AVERAGE(D6:L6)</f>
        <v>9.7345846671752792E-2</v>
      </c>
      <c r="O6" s="9">
        <f t="shared" ref="O6:O24" si="1">MEDIAN(D6:L6)</f>
        <v>7.758181262106234E-2</v>
      </c>
    </row>
    <row r="7" spans="2:15" x14ac:dyDescent="0.35">
      <c r="B7" t="s">
        <v>249</v>
      </c>
      <c r="D7" s="10">
        <f>IFERROR(HistoricalFS!D26/HistoricalFS!C26-1,0)</f>
        <v>1.5989173475013718E-2</v>
      </c>
      <c r="E7" s="10">
        <f>IFERROR(HistoricalFS!E26/HistoricalFS!D26-1,0)</f>
        <v>3.8036507153428767E-2</v>
      </c>
      <c r="F7" s="10">
        <f>IFERROR(HistoricalFS!F26/HistoricalFS!E26-1,0)</f>
        <v>4.5910365476925952E-2</v>
      </c>
      <c r="G7" s="10">
        <f>IFERROR(HistoricalFS!G26/HistoricalFS!F26-1,0)</f>
        <v>0.20997864315899495</v>
      </c>
      <c r="H7" s="10">
        <f>IFERROR(HistoricalFS!H26/HistoricalFS!G26-1,0)</f>
        <v>0.13076460868258977</v>
      </c>
      <c r="I7" s="10">
        <f>IFERROR(HistoricalFS!I26/HistoricalFS!H26-1,0)</f>
        <v>0.10667552308203265</v>
      </c>
      <c r="J7" s="10">
        <f>IFERROR(HistoricalFS!J26/HistoricalFS!I26-1,0)</f>
        <v>8.0007202448832526E-2</v>
      </c>
      <c r="K7" s="10">
        <f>IFERROR(HistoricalFS!K26/HistoricalFS!J26-1,0)</f>
        <v>4.501500500166733E-2</v>
      </c>
      <c r="L7" s="10">
        <f>IFERROR(HistoricalFS!L26/HistoricalFS!K26-1,0)</f>
        <v>6.3470538183365344E-2</v>
      </c>
      <c r="N7" s="9">
        <f t="shared" si="0"/>
        <v>8.1760840740316781E-2</v>
      </c>
      <c r="O7" s="9">
        <f t="shared" si="1"/>
        <v>6.3470538183365344E-2</v>
      </c>
    </row>
    <row r="8" spans="2:15" x14ac:dyDescent="0.35">
      <c r="B8" t="s">
        <v>250</v>
      </c>
      <c r="D8" s="10">
        <f>IFERROR(HistoricalFS!D32/HistoricalFS!C32-1,0)</f>
        <v>0.11677001323765057</v>
      </c>
      <c r="E8" s="10">
        <f>IFERROR(HistoricalFS!E32/HistoricalFS!D32-1,0)</f>
        <v>-3.8617505770790483E-2</v>
      </c>
      <c r="F8" s="10">
        <f>IFERROR(HistoricalFS!F32/HistoricalFS!E32-1,0)</f>
        <v>7.975340687865029E-2</v>
      </c>
      <c r="G8" s="10">
        <f>IFERROR(HistoricalFS!G32/HistoricalFS!F32-1,0)</f>
        <v>0.16731774746078498</v>
      </c>
      <c r="H8" s="10">
        <f>IFERROR(HistoricalFS!H32/HistoricalFS!G32-1,0)</f>
        <v>0.14019461463213712</v>
      </c>
      <c r="I8" s="10">
        <f>IFERROR(HistoricalFS!I32/HistoricalFS!H32-1,0)</f>
        <v>8.8593876998103394E-2</v>
      </c>
      <c r="J8" s="10">
        <f>IFERROR(HistoricalFS!J32/HistoricalFS!I32-1,0)</f>
        <v>8.8767214202754241E-2</v>
      </c>
      <c r="K8" s="10">
        <f>IFERROR(HistoricalFS!K32/HistoricalFS!J32-1,0)</f>
        <v>1.9125266686985665E-2</v>
      </c>
      <c r="L8" s="10">
        <f>IFERROR(HistoricalFS!L32/HistoricalFS!K32-1,0)</f>
        <v>0.1018317757009346</v>
      </c>
      <c r="N8" s="9">
        <f t="shared" si="0"/>
        <v>8.4859601114134486E-2</v>
      </c>
      <c r="O8" s="9">
        <f t="shared" si="1"/>
        <v>8.8767214202754241E-2</v>
      </c>
    </row>
    <row r="9" spans="2:15" x14ac:dyDescent="0.35">
      <c r="B9" t="s">
        <v>251</v>
      </c>
      <c r="D9" s="10">
        <f>IFERROR(HistoricalFS!D40/HistoricalFS!C40-1,0)</f>
        <v>0.68963896853592144</v>
      </c>
      <c r="E9" s="10">
        <f>IFERROR(HistoricalFS!E40/HistoricalFS!D40-1,0)</f>
        <v>-2.5838579728767352E-2</v>
      </c>
      <c r="F9" s="10">
        <f>IFERROR(HistoricalFS!F40/HistoricalFS!E40-1,0)</f>
        <v>-0.17390646350868544</v>
      </c>
      <c r="G9" s="10">
        <f>IFERROR(HistoricalFS!G40/HistoricalFS!F40-1,0)</f>
        <v>0.54369512340846549</v>
      </c>
      <c r="H9" s="10">
        <f>IFERROR(HistoricalFS!H40/HistoricalFS!G40-1,0)</f>
        <v>0.14865158399694378</v>
      </c>
      <c r="I9" s="10">
        <f>IFERROR(HistoricalFS!I40/HistoricalFS!H40-1,0)</f>
        <v>9.6761529392781709E-2</v>
      </c>
      <c r="J9" s="10">
        <f>IFERROR(HistoricalFS!J40/HistoricalFS!I40-1,0)</f>
        <v>0.35349861290755547</v>
      </c>
      <c r="K9" s="10">
        <f>IFERROR(HistoricalFS!K40/HistoricalFS!J40-1,0)</f>
        <v>-6.4855345095345629E-2</v>
      </c>
      <c r="L9" s="10">
        <f>IFERROR(HistoricalFS!L40/HistoricalFS!K40-1,0)</f>
        <v>0.11614900276192253</v>
      </c>
      <c r="N9" s="9">
        <f t="shared" si="0"/>
        <v>0.18708827029675468</v>
      </c>
      <c r="O9" s="9">
        <f t="shared" si="1"/>
        <v>0.11614900276192253</v>
      </c>
    </row>
    <row r="10" spans="2:15" x14ac:dyDescent="0.35">
      <c r="N10" s="9"/>
    </row>
    <row r="11" spans="2:15" x14ac:dyDescent="0.35">
      <c r="B11" t="s">
        <v>120</v>
      </c>
      <c r="C11" s="10">
        <f>IFERROR(HistoricalFS!C12,0)</f>
        <v>0.34862157584253256</v>
      </c>
      <c r="D11" s="10">
        <f>IFERROR(HistoricalFS!D12,0)</f>
        <v>0.34212018944442868</v>
      </c>
      <c r="E11" s="10">
        <f>IFERROR(HistoricalFS!E12,0)</f>
        <v>0.32934986392500754</v>
      </c>
      <c r="F11" s="10">
        <f>IFERROR(HistoricalFS!F12,0)</f>
        <v>0.31479992510270843</v>
      </c>
      <c r="G11" s="10">
        <f>IFERROR(HistoricalFS!G12,0)</f>
        <v>0.31831754120550998</v>
      </c>
      <c r="H11" s="10">
        <f>IFERROR(HistoricalFS!H12,0)</f>
        <v>0.30271043480405457</v>
      </c>
      <c r="I11" s="10">
        <f>IFERROR(HistoricalFS!I12,0)</f>
        <v>0.28539794367943749</v>
      </c>
      <c r="J11" s="10">
        <f>IFERROR(HistoricalFS!J12,0)</f>
        <v>0.28398516301164833</v>
      </c>
      <c r="K11" s="10">
        <f>IFERROR(HistoricalFS!K12,0)</f>
        <v>0.2847107184489846</v>
      </c>
      <c r="L11" s="10">
        <f>IFERROR(HistoricalFS!L12,0)</f>
        <v>0.28207668625804644</v>
      </c>
      <c r="N11" s="9">
        <f t="shared" si="0"/>
        <v>0.30482982954220295</v>
      </c>
      <c r="O11" s="9">
        <f t="shared" si="1"/>
        <v>0.30271043480405457</v>
      </c>
    </row>
    <row r="12" spans="2:15" x14ac:dyDescent="0.35">
      <c r="B12" t="s">
        <v>116</v>
      </c>
      <c r="C12" s="10">
        <f>IFERROR(HistoricalFS!C18,0)</f>
        <v>0.27165469306699375</v>
      </c>
      <c r="D12" s="10">
        <f>IFERROR(HistoricalFS!D18,0)</f>
        <v>0.26689543688494372</v>
      </c>
      <c r="E12" s="10">
        <f>IFERROR(HistoricalFS!E18,0)</f>
        <v>0.24396734200181433</v>
      </c>
      <c r="F12" s="10">
        <f>IFERROR(HistoricalFS!F18,0)</f>
        <v>0.24525558700752279</v>
      </c>
      <c r="G12" s="10">
        <f>IFERROR(HistoricalFS!G18,0)</f>
        <v>0.27757982323433394</v>
      </c>
      <c r="H12" s="10">
        <f>IFERROR(HistoricalFS!H18,0)</f>
        <v>0.25888475102966929</v>
      </c>
      <c r="I12" s="10">
        <f>IFERROR(HistoricalFS!I18,0)</f>
        <v>0.23935898396778568</v>
      </c>
      <c r="J12" s="10">
        <f>IFERROR(HistoricalFS!J18,0)</f>
        <v>0.23703390381987374</v>
      </c>
      <c r="K12" s="10">
        <f>IFERROR(HistoricalFS!K18,0)</f>
        <v>0.24072642493404503</v>
      </c>
      <c r="L12" s="10">
        <f>IFERROR(HistoricalFS!L18,0)</f>
        <v>0.23666386789812482</v>
      </c>
      <c r="N12" s="9">
        <f t="shared" si="0"/>
        <v>0.24959623564201261</v>
      </c>
      <c r="O12" s="9">
        <f t="shared" si="1"/>
        <v>0.24396734200181433</v>
      </c>
    </row>
    <row r="13" spans="2:15" x14ac:dyDescent="0.35">
      <c r="B13" t="s">
        <v>252</v>
      </c>
      <c r="C13" s="10">
        <f>IFERROR((HistoricalFS!C17-HistoricalFS!C23)/HistoricalFS!C5,0)</f>
        <v>0.24678757081946148</v>
      </c>
      <c r="D13" s="10">
        <f>IFERROR((HistoricalFS!D17-HistoricalFS!D23)/HistoricalFS!D5,0)</f>
        <v>0.24047814866282863</v>
      </c>
      <c r="E13" s="10">
        <f>IFERROR((HistoricalFS!E17-HistoricalFS!E23)/HistoricalFS!E5,0)</f>
        <v>0.2196431811309344</v>
      </c>
      <c r="F13" s="10">
        <f>IFERROR((HistoricalFS!F17-HistoricalFS!F23)/HistoricalFS!F5,0)</f>
        <v>0.21339119516251612</v>
      </c>
      <c r="G13" s="10">
        <f>IFERROR((HistoricalFS!G17-HistoricalFS!G23)/HistoricalFS!G5,0)</f>
        <v>0.24506330121824987</v>
      </c>
      <c r="H13" s="10">
        <f>IFERROR((HistoricalFS!H17-HistoricalFS!H23)/HistoricalFS!H5,0)</f>
        <v>0.23030885967724699</v>
      </c>
      <c r="I13" s="10">
        <f>IFERROR((HistoricalFS!I17-HistoricalFS!I23)/HistoricalFS!I5,0)</f>
        <v>0.21057185879659596</v>
      </c>
      <c r="J13" s="10">
        <f>IFERROR((HistoricalFS!J17-HistoricalFS!J23)/HistoricalFS!J5,0)</f>
        <v>0.20659204789483959</v>
      </c>
      <c r="K13" s="10">
        <f>IFERROR((HistoricalFS!K17-HistoricalFS!K23)/HistoricalFS!K5,0)</f>
        <v>0.21120314129701209</v>
      </c>
      <c r="L13" s="10">
        <f>IFERROR((HistoricalFS!L17-HistoricalFS!L23)/HistoricalFS!L5,0)</f>
        <v>0.20922474111390987</v>
      </c>
      <c r="N13" s="9">
        <f t="shared" si="0"/>
        <v>0.22071960832823703</v>
      </c>
      <c r="O13" s="9">
        <f t="shared" si="1"/>
        <v>0.21339119516251612</v>
      </c>
    </row>
    <row r="14" spans="2:15" x14ac:dyDescent="0.35">
      <c r="B14" t="s">
        <v>110</v>
      </c>
      <c r="C14" s="10">
        <f>IFERROR(HistoricalFS!C27,0)</f>
        <v>0.29132352082238189</v>
      </c>
      <c r="D14" s="10">
        <f>IFERROR(HistoricalFS!D27,0)</f>
        <v>0.28742803664104816</v>
      </c>
      <c r="E14" s="10">
        <f>IFERROR(HistoricalFS!E27,0)</f>
        <v>0.25450257030541273</v>
      </c>
      <c r="F14" s="10">
        <f>IFERROR(HistoricalFS!F27,0)</f>
        <v>0.24239186703527882</v>
      </c>
      <c r="G14" s="10">
        <f>IFERROR(HistoricalFS!G27,0)</f>
        <v>0.26502906282347322</v>
      </c>
      <c r="H14" s="10">
        <f>IFERROR(HistoricalFS!H27,0)</f>
        <v>0.24753167106485477</v>
      </c>
      <c r="I14" s="10">
        <f>IFERROR(HistoricalFS!I27,0)</f>
        <v>0.22704013845074164</v>
      </c>
      <c r="J14" s="10">
        <f>IFERROR(HistoricalFS!J27,0)</f>
        <v>0.2341901477191384</v>
      </c>
      <c r="K14" s="10">
        <f>IFERROR(HistoricalFS!K27,0)</f>
        <v>0.23073808209092583</v>
      </c>
      <c r="L14" s="10">
        <f>IFERROR(HistoricalFS!L27,0)</f>
        <v>0.22387349566190876</v>
      </c>
      <c r="N14" s="9">
        <f t="shared" si="0"/>
        <v>0.24585834131030915</v>
      </c>
      <c r="O14" s="9">
        <f t="shared" si="1"/>
        <v>0.24239186703527882</v>
      </c>
    </row>
    <row r="15" spans="2:15" x14ac:dyDescent="0.35">
      <c r="B15" t="s">
        <v>253</v>
      </c>
      <c r="C15" s="10">
        <f>IFERROR(HistoricalFS!C33,0)</f>
        <v>0.20958180012849717</v>
      </c>
      <c r="D15" s="10">
        <f>IFERROR(HistoricalFS!D33,0)</f>
        <v>0.22729077451008195</v>
      </c>
      <c r="E15" s="10">
        <f>IFERROR(HistoricalFS!E33,0)</f>
        <v>0.18639250075597219</v>
      </c>
      <c r="F15" s="10">
        <f>IFERROR(HistoricalFS!F33,0)</f>
        <v>0.18326706391602693</v>
      </c>
      <c r="G15" s="10">
        <f>IFERROR(HistoricalFS!G33,0)</f>
        <v>0.19331754120550998</v>
      </c>
      <c r="H15" s="10">
        <f>IFERROR(HistoricalFS!H33,0)</f>
        <v>0.1820603250548746</v>
      </c>
      <c r="I15" s="10">
        <f>IFERROR(HistoricalFS!I33,0)</f>
        <v>0.16426035825492105</v>
      </c>
      <c r="J15" s="10">
        <f>IFERROR(HistoricalFS!J33,0)</f>
        <v>0.17080757467300059</v>
      </c>
      <c r="K15" s="10">
        <f>IFERROR(HistoricalFS!K33,0)</f>
        <v>0.16412049819007302</v>
      </c>
      <c r="L15" s="10">
        <f>IFERROR(HistoricalFS!L33,0)</f>
        <v>0.16498180800447804</v>
      </c>
      <c r="N15" s="9">
        <f t="shared" si="0"/>
        <v>0.18183316050721537</v>
      </c>
      <c r="O15" s="9">
        <f t="shared" si="1"/>
        <v>0.1820603250548746</v>
      </c>
    </row>
    <row r="16" spans="2:15" x14ac:dyDescent="0.35">
      <c r="N16" s="9"/>
    </row>
    <row r="17" spans="2:15" x14ac:dyDescent="0.35">
      <c r="B17" t="s">
        <v>254</v>
      </c>
      <c r="C17" s="10">
        <f>IFERROR(HistoricalFS!C15,0)</f>
        <v>7.6966882775538814E-2</v>
      </c>
      <c r="D17" s="10">
        <f>IFERROR(HistoricalFS!D15,0)</f>
        <v>7.5224752559484978E-2</v>
      </c>
      <c r="E17" s="10">
        <f>IFERROR(HistoricalFS!E15,0)</f>
        <v>8.5382521923193233E-2</v>
      </c>
      <c r="F17" s="10">
        <f>IFERROR(HistoricalFS!F15,0)</f>
        <v>6.9544338095185648E-2</v>
      </c>
      <c r="G17" s="10">
        <f>IFERROR(HistoricalFS!G15,0)</f>
        <v>4.0737717971176049E-2</v>
      </c>
      <c r="H17" s="10">
        <f>IFERROR(HistoricalFS!H15,0)</f>
        <v>4.3825683774385282E-2</v>
      </c>
      <c r="I17" s="10">
        <f>IFERROR(HistoricalFS!I15,0)</f>
        <v>4.6038959711651804E-2</v>
      </c>
      <c r="J17" s="10">
        <f>IFERROR(HistoricalFS!J15,0)</f>
        <v>4.6951259191774584E-2</v>
      </c>
      <c r="K17" s="10">
        <f>IFERROR(HistoricalFS!K15,0)</f>
        <v>4.3984293514939564E-2</v>
      </c>
      <c r="L17" s="10">
        <f>IFERROR(HistoricalFS!L15,0)</f>
        <v>4.5412818359921635E-2</v>
      </c>
      <c r="N17" s="9">
        <f t="shared" si="0"/>
        <v>5.5233593900190302E-2</v>
      </c>
      <c r="O17" s="9">
        <f>MEDIAN(D17:L17)</f>
        <v>4.6038959711651804E-2</v>
      </c>
    </row>
    <row r="18" spans="2:15" x14ac:dyDescent="0.35">
      <c r="B18" t="s">
        <v>255</v>
      </c>
      <c r="C18" s="10">
        <f>IFERROR(C13,0)</f>
        <v>0.24678757081946148</v>
      </c>
      <c r="D18" s="10">
        <f t="shared" ref="D18:L18" si="2">IFERROR(D13,0)</f>
        <v>0.24047814866282863</v>
      </c>
      <c r="E18" s="10">
        <f t="shared" si="2"/>
        <v>0.2196431811309344</v>
      </c>
      <c r="F18" s="10">
        <f t="shared" si="2"/>
        <v>0.21339119516251612</v>
      </c>
      <c r="G18" s="10">
        <f t="shared" si="2"/>
        <v>0.24506330121824987</v>
      </c>
      <c r="H18" s="10">
        <f t="shared" si="2"/>
        <v>0.23030885967724699</v>
      </c>
      <c r="I18" s="10">
        <f t="shared" si="2"/>
        <v>0.21057185879659596</v>
      </c>
      <c r="J18" s="10">
        <f t="shared" si="2"/>
        <v>0.20659204789483959</v>
      </c>
      <c r="K18" s="10">
        <f t="shared" si="2"/>
        <v>0.21120314129701209</v>
      </c>
      <c r="L18" s="10">
        <f t="shared" si="2"/>
        <v>0.20922474111390987</v>
      </c>
      <c r="N18" s="9">
        <f t="shared" si="0"/>
        <v>0.22071960832823703</v>
      </c>
      <c r="O18" s="9">
        <f t="shared" si="1"/>
        <v>0.21339119516251612</v>
      </c>
    </row>
    <row r="19" spans="2:15" x14ac:dyDescent="0.35">
      <c r="B19" t="s">
        <v>256</v>
      </c>
      <c r="C19" s="10">
        <f>IFERROR(HistoricalFS!C24,0)</f>
        <v>2.4867122247532271E-2</v>
      </c>
      <c r="D19" s="10">
        <f>IFERROR(HistoricalFS!D24,0)</f>
        <v>2.6417288222115084E-2</v>
      </c>
      <c r="E19" s="10">
        <f>IFERROR(HistoricalFS!E24,0)</f>
        <v>2.4324160870879952E-2</v>
      </c>
      <c r="F19" s="10">
        <f>IFERROR(HistoricalFS!F24,0)</f>
        <v>3.1864391845006661E-2</v>
      </c>
      <c r="G19" s="10">
        <f>IFERROR(HistoricalFS!G24,0)</f>
        <v>3.2516522016084085E-2</v>
      </c>
      <c r="H19" s="10">
        <f>IFERROR(HistoricalFS!H24,0)</f>
        <v>2.8575891352422292E-2</v>
      </c>
      <c r="I19" s="10">
        <f>IFERROR(HistoricalFS!I24,0)</f>
        <v>2.8787125171189708E-2</v>
      </c>
      <c r="J19" s="10">
        <f>IFERROR(HistoricalFS!J24,0)</f>
        <v>3.0441855925034164E-2</v>
      </c>
      <c r="K19" s="10">
        <f>IFERROR(HistoricalFS!K24,0)</f>
        <v>2.9523283637032948E-2</v>
      </c>
      <c r="L19" s="10">
        <f>IFERROR(HistoricalFS!L24,0)</f>
        <v>2.7439126784214944E-2</v>
      </c>
      <c r="N19" s="9">
        <f t="shared" si="0"/>
        <v>2.8876627313775535E-2</v>
      </c>
      <c r="O19" s="9">
        <f t="shared" si="1"/>
        <v>2.8787125171189708E-2</v>
      </c>
    </row>
    <row r="20" spans="2:15" x14ac:dyDescent="0.35">
      <c r="N20" s="9"/>
    </row>
    <row r="21" spans="2:15" x14ac:dyDescent="0.35">
      <c r="B21" t="s">
        <v>257</v>
      </c>
      <c r="C21" s="10">
        <f>IFERROR((HistoricalFS!C17-HistoricalFS!C23)/SUM(HistoricalFS!C48:C50),0)</f>
        <v>0.24500594357948449</v>
      </c>
      <c r="D21" s="10">
        <f>IFERROR((HistoricalFS!D17-HistoricalFS!D23)/SUM(HistoricalFS!D48:D50),0)</f>
        <v>0.26121713414352388</v>
      </c>
      <c r="E21" s="10">
        <f>IFERROR((HistoricalFS!E17-HistoricalFS!E23)/SUM(HistoricalFS!E48:E50),0)</f>
        <v>0.27959290509330542</v>
      </c>
      <c r="F21" s="10">
        <f>IFERROR((HistoricalFS!F17-HistoricalFS!F23)/SUM(HistoricalFS!F48:F50),0)</f>
        <v>0.27644364539189248</v>
      </c>
      <c r="G21" s="10">
        <f>IFERROR((HistoricalFS!G17-HistoricalFS!G23)/SUM(HistoricalFS!G48:G50),0)</f>
        <v>0.30145942504530093</v>
      </c>
      <c r="H21" s="10">
        <f>IFERROR((HistoricalFS!H17-HistoricalFS!H23)/SUM(HistoricalFS!H48:H50),0)</f>
        <v>0.34661734138374739</v>
      </c>
      <c r="I21" s="10">
        <f>IFERROR((HistoricalFS!I17-HistoricalFS!I23)/SUM(HistoricalFS!I48:I50),0)</f>
        <v>0.36920889780899818</v>
      </c>
      <c r="J21" s="10">
        <f>IFERROR((HistoricalFS!J17-HistoricalFS!J23)/SUM(HistoricalFS!J48:J50),0)</f>
        <v>0.32906970717802542</v>
      </c>
      <c r="K21" s="10">
        <f>IFERROR((HistoricalFS!K17-HistoricalFS!K23)/SUM(HistoricalFS!K48:K50),0)</f>
        <v>0.33085684079004279</v>
      </c>
      <c r="L21" s="10">
        <f>IFERROR((HistoricalFS!L17-HistoricalFS!L23)/SUM(HistoricalFS!L48:L50),0)</f>
        <v>0.36635041361194964</v>
      </c>
      <c r="N21" s="9">
        <f t="shared" si="0"/>
        <v>0.31786847893853182</v>
      </c>
      <c r="O21" s="9">
        <f t="shared" si="1"/>
        <v>0.32906970717802542</v>
      </c>
    </row>
    <row r="22" spans="2:15" x14ac:dyDescent="0.35">
      <c r="B22" t="s">
        <v>100</v>
      </c>
      <c r="C22" s="10">
        <f>IFERROR(HistoricalFS!C43,0)</f>
        <v>0.58952135442067854</v>
      </c>
      <c r="D22" s="10">
        <f>IFERROR(HistoricalFS!D43,0)</f>
        <v>0.40947033501778018</v>
      </c>
      <c r="E22" s="10">
        <f>IFERROR(HistoricalFS!E43,0)</f>
        <v>0.40152498377676826</v>
      </c>
      <c r="F22" s="10">
        <f>IFERROR(HistoricalFS!F43,0)</f>
        <v>0.55363904080774073</v>
      </c>
      <c r="G22" s="10">
        <f>IFERROR(HistoricalFS!G43,0)</f>
        <v>0.40948360191525501</v>
      </c>
      <c r="H22" s="10">
        <f>IFERROR(HistoricalFS!H43,0)</f>
        <v>0.41264336674794544</v>
      </c>
      <c r="I22" s="10">
        <f>IFERROR(HistoricalFS!I43,0)</f>
        <v>0.41640949062551846</v>
      </c>
      <c r="J22" s="10">
        <f>IFERROR(HistoricalFS!J43,0)</f>
        <v>0.27410850350502891</v>
      </c>
      <c r="K22" s="10">
        <f>IFERROR(HistoricalFS!K43,0)</f>
        <v>0.33354018691588794</v>
      </c>
      <c r="L22" s="10">
        <f>IFERROR(HistoricalFS!L43,0)</f>
        <v>0.34076134898554644</v>
      </c>
      <c r="N22" s="9">
        <f t="shared" si="0"/>
        <v>0.39462009536638565</v>
      </c>
      <c r="O22" s="9">
        <f t="shared" si="1"/>
        <v>0.40947033501778018</v>
      </c>
    </row>
    <row r="23" spans="2:15" x14ac:dyDescent="0.35">
      <c r="B23" t="s">
        <v>258</v>
      </c>
      <c r="C23" s="10">
        <f>IFERROR(HistoricalFS!C32/SUM(HistoricalFS!C48:C49),0)</f>
        <v>0.20806877156359629</v>
      </c>
      <c r="D23" s="10">
        <f>IFERROR(HistoricalFS!D32/SUM(HistoricalFS!D48:D49),0)</f>
        <v>0.24689247262141306</v>
      </c>
      <c r="E23" s="10">
        <f>IFERROR(HistoricalFS!E32/SUM(HistoricalFS!E48:E49),0)</f>
        <v>0.23726673646609595</v>
      </c>
      <c r="F23" s="10">
        <f>IFERROR(HistoricalFS!F32/SUM(HistoricalFS!F48:F49),0)</f>
        <v>0.25422459893048127</v>
      </c>
      <c r="G23" s="10">
        <f>IFERROR(HistoricalFS!G32/SUM(HistoricalFS!G48:G49),0)</f>
        <v>0.2543909051616875</v>
      </c>
      <c r="H23" s="10">
        <f>IFERROR(HistoricalFS!H32/SUM(HistoricalFS!H48:H49),0)</f>
        <v>0.29390842733908429</v>
      </c>
      <c r="I23" s="10">
        <f>IFERROR(HistoricalFS!I32/SUM(HistoricalFS!I48:I49),0)</f>
        <v>0.31970506716883046</v>
      </c>
      <c r="J23" s="10">
        <f>IFERROR(HistoricalFS!J32/SUM(HistoricalFS!J48:J49),0)</f>
        <v>0.29788006718416632</v>
      </c>
      <c r="K23" s="10">
        <f>IFERROR(HistoricalFS!K32/SUM(HistoricalFS!K48:K49),0)</f>
        <v>0.27917510279905655</v>
      </c>
      <c r="L23" s="10">
        <f>IFERROR(HistoricalFS!L32/SUM(HistoricalFS!L48:L49),0)</f>
        <v>0.31742988842458969</v>
      </c>
      <c r="N23" s="9">
        <f t="shared" si="0"/>
        <v>0.27787480734393388</v>
      </c>
      <c r="O23" s="9">
        <f t="shared" si="1"/>
        <v>0.27917510279905655</v>
      </c>
    </row>
    <row r="24" spans="2:15" x14ac:dyDescent="0.35">
      <c r="B24" t="s">
        <v>259</v>
      </c>
      <c r="C24" s="10">
        <f>IFERROR(C22*C23,0)</f>
        <v>0.12266098402481805</v>
      </c>
      <c r="D24" s="10">
        <f t="shared" ref="D24:L24" si="3">IFERROR(D22*D23,0)</f>
        <v>0.10109514347765813</v>
      </c>
      <c r="E24" s="10">
        <f t="shared" si="3"/>
        <v>9.5268522510315923E-2</v>
      </c>
      <c r="F24" s="10">
        <f t="shared" si="3"/>
        <v>0.14074866310160425</v>
      </c>
      <c r="G24" s="10">
        <f t="shared" si="3"/>
        <v>0.10416890414008984</v>
      </c>
      <c r="H24" s="10">
        <f t="shared" si="3"/>
        <v>0.12127936297279363</v>
      </c>
      <c r="I24" s="10">
        <f t="shared" si="3"/>
        <v>0.13312822417016987</v>
      </c>
      <c r="J24" s="10">
        <f t="shared" si="3"/>
        <v>8.1651459439829308E-2</v>
      </c>
      <c r="K24" s="10">
        <f t="shared" si="3"/>
        <v>9.3116115969859553E-2</v>
      </c>
      <c r="L24" s="10">
        <f t="shared" si="3"/>
        <v>0.10816783698789467</v>
      </c>
      <c r="N24" s="9">
        <f t="shared" si="0"/>
        <v>0.10873602586335725</v>
      </c>
      <c r="O24" s="9">
        <f t="shared" si="1"/>
        <v>0.10416890414008984</v>
      </c>
    </row>
    <row r="25" spans="2:15" x14ac:dyDescent="0.35">
      <c r="B25" t="s">
        <v>260</v>
      </c>
      <c r="C25" s="130">
        <f>IFERROR((HistoricalFS!C17-HistoricalFS!C23)/HistoricalFS!C20,0)</f>
        <v>0</v>
      </c>
      <c r="D25" s="130">
        <f>IFERROR((HistoricalFS!D17-HistoricalFS!D23)/HistoricalFS!D20,0)</f>
        <v>0</v>
      </c>
      <c r="E25" s="130">
        <f>IFERROR((HistoricalFS!E17-HistoricalFS!E23)/HistoricalFS!E20,0)</f>
        <v>0</v>
      </c>
      <c r="F25" s="130">
        <f>IFERROR((HistoricalFS!F17-HistoricalFS!F23)/HistoricalFS!F20,0)</f>
        <v>113.96470588235294</v>
      </c>
      <c r="G25" s="130">
        <f>IFERROR((HistoricalFS!G17-HistoricalFS!G23)/HistoricalFS!G20,0)</f>
        <v>126.26666666666667</v>
      </c>
      <c r="H25" s="130">
        <f>IFERROR((HistoricalFS!H17-HistoricalFS!H23)/HistoricalFS!H20,0)</f>
        <v>140.07499999999999</v>
      </c>
      <c r="I25" s="130">
        <f>IFERROR((HistoricalFS!I17-HistoricalFS!I23)/HistoricalFS!I20,0)</f>
        <v>108.82042253521126</v>
      </c>
      <c r="J25" s="130">
        <f>IFERROR((HistoricalFS!J17-HistoricalFS!J23)/HistoricalFS!J20,0)</f>
        <v>67.5468085106383</v>
      </c>
      <c r="K25" s="130">
        <f>IFERROR((HistoricalFS!K17-HistoricalFS!K23)/HistoricalFS!K20,0)</f>
        <v>82.75</v>
      </c>
      <c r="L25" s="130">
        <f>IFERROR((HistoricalFS!L17-HistoricalFS!L23)/HistoricalFS!L20,0)</f>
        <v>89.850961538461533</v>
      </c>
      <c r="N25" s="130">
        <f t="shared" si="0"/>
        <v>81.030507237036744</v>
      </c>
      <c r="O25" s="130">
        <f>MEDIAN(C25:L25)</f>
        <v>86.300480769230774</v>
      </c>
    </row>
    <row r="26" spans="2:15" x14ac:dyDescent="0.35">
      <c r="N26" s="9"/>
    </row>
    <row r="27" spans="2:15" x14ac:dyDescent="0.35">
      <c r="B27" t="s">
        <v>261</v>
      </c>
      <c r="C27" s="130">
        <f>IFERROR(HistoricalFS!C5/HistoricalFS!C60,0)</f>
        <v>5.5578639831196233</v>
      </c>
      <c r="D27" s="130">
        <f>IFERROR(HistoricalFS!D5/HistoricalFS!D60,0)</f>
        <v>5.3661543144118093</v>
      </c>
      <c r="E27" s="130">
        <f>IFERROR(HistoricalFS!E5/HistoricalFS!E60,0)</f>
        <v>5.5759762595265396</v>
      </c>
      <c r="F27" s="130">
        <f>IFERROR(HistoricalFS!F5/HistoricalFS!F60,0)</f>
        <v>4.9110726456428839</v>
      </c>
      <c r="G27" s="130">
        <f>IFERROR(HistoricalFS!G5/HistoricalFS!G60,0)</f>
        <v>5.2074219964755883</v>
      </c>
      <c r="H27" s="130">
        <f>IFERROR(HistoricalFS!H5/HistoricalFS!H60,0)</f>
        <v>5.3591065292096216</v>
      </c>
      <c r="I27" s="130">
        <f>IFERROR(HistoricalFS!I5/HistoricalFS!I60,0)</f>
        <v>5.7727737570799249</v>
      </c>
      <c r="J27" s="130">
        <f>IFERROR(HistoricalFS!J5/HistoricalFS!J60,0)</f>
        <v>5.0895903023879709</v>
      </c>
      <c r="K27" s="130">
        <f>IFERROR(HistoricalFS!K5/HistoricalFS!K60,0)</f>
        <v>5.2310803004043906</v>
      </c>
      <c r="L27" s="130">
        <f>IFERROR(HistoricalFS!L5/HistoricalFS!L60,0)</f>
        <v>5.0703865584378729</v>
      </c>
      <c r="N27" s="130">
        <f t="shared" si="0"/>
        <v>5.287062518175178</v>
      </c>
      <c r="O27" s="130">
        <f t="shared" ref="O27:O31" si="4">MEDIAN(C27:L27)</f>
        <v>5.2950934148070061</v>
      </c>
    </row>
    <row r="28" spans="2:15" x14ac:dyDescent="0.35">
      <c r="B28" t="s">
        <v>262</v>
      </c>
      <c r="C28" s="130">
        <f>IFERROR(HistoricalFS!C5/HistoricalFS!C51,0)</f>
        <v>4.8343922066920797</v>
      </c>
      <c r="D28" s="130">
        <f>IFERROR(HistoricalFS!D5/HistoricalFS!D51,0)</f>
        <v>4.8885345903230277</v>
      </c>
      <c r="E28" s="130">
        <f>IFERROR(HistoricalFS!E5/HistoricalFS!E51,0)</f>
        <v>4.3244586253792239</v>
      </c>
      <c r="F28" s="130">
        <f>IFERROR(HistoricalFS!F5/HistoricalFS!F51,0)</f>
        <v>4.1806418934475298</v>
      </c>
      <c r="G28" s="130">
        <f>IFERROR(HistoricalFS!G5/HistoricalFS!G51,0)</f>
        <v>3.8889878072382427</v>
      </c>
      <c r="H28" s="130">
        <f>IFERROR(HistoricalFS!H5/HistoricalFS!H51,0)</f>
        <v>3.3878568444506336</v>
      </c>
      <c r="I28" s="130">
        <f>IFERROR(HistoricalFS!I5/HistoricalFS!I51,0)</f>
        <v>3.5893127904133042</v>
      </c>
      <c r="J28" s="130">
        <f>IFERROR(HistoricalFS!J5/HistoricalFS!J51,0)</f>
        <v>3.8859527121001389</v>
      </c>
      <c r="K28" s="130">
        <f>IFERROR(HistoricalFS!K5/HistoricalFS!K51,0)</f>
        <v>3.7254857142857141</v>
      </c>
      <c r="L28" s="130">
        <f>IFERROR(HistoricalFS!L5/HistoricalFS!L51,0)</f>
        <v>3.4184845005740527</v>
      </c>
      <c r="N28" s="130">
        <f t="shared" si="0"/>
        <v>3.9210794975790964</v>
      </c>
      <c r="O28" s="130">
        <f t="shared" si="4"/>
        <v>3.8874702596691906</v>
      </c>
    </row>
    <row r="29" spans="2:15" x14ac:dyDescent="0.35">
      <c r="B29" t="s">
        <v>263</v>
      </c>
      <c r="C29" s="130">
        <f>IFERROR(HistoricalFS!C5/HistoricalFS!C54,0)</f>
        <v>4.8299597997037873</v>
      </c>
      <c r="D29" s="130">
        <f>IFERROR(HistoricalFS!D5/HistoricalFS!D54,0)</f>
        <v>5.6085573405439799</v>
      </c>
      <c r="E29" s="130">
        <f>IFERROR(HistoricalFS!E5/HistoricalFS!E54,0)</f>
        <v>5.2625716104392106</v>
      </c>
      <c r="F29" s="130">
        <f>IFERROR(HistoricalFS!F5/HistoricalFS!F54,0)</f>
        <v>3.8165118332002188</v>
      </c>
      <c r="G29" s="130">
        <f>IFERROR(HistoricalFS!G5/HistoricalFS!G54,0)</f>
        <v>3.9393060184277591</v>
      </c>
      <c r="H29" s="130">
        <f>IFERROR(HistoricalFS!H5/HistoricalFS!H54,0)</f>
        <v>4.7147674418604648</v>
      </c>
      <c r="I29" s="130">
        <f>IFERROR(HistoricalFS!I5/HistoricalFS!I54,0)</f>
        <v>5.0219674935842598</v>
      </c>
      <c r="J29" s="130">
        <f>IFERROR(HistoricalFS!J5/HistoricalFS!J54,0)</f>
        <v>5.5633190934762142</v>
      </c>
      <c r="K29" s="130">
        <f>IFERROR(HistoricalFS!K5/HistoricalFS!K54,0)</f>
        <v>5.2643648460967025</v>
      </c>
      <c r="L29" s="130">
        <f>IFERROR(HistoricalFS!L5/HistoricalFS!L54,0)</f>
        <v>5.2901984009475864</v>
      </c>
      <c r="N29" s="130">
        <f t="shared" si="0"/>
        <v>4.9423960087307108</v>
      </c>
      <c r="O29" s="130">
        <f t="shared" si="4"/>
        <v>5.1422695520117347</v>
      </c>
    </row>
    <row r="30" spans="2:15" x14ac:dyDescent="0.35">
      <c r="B30" t="s">
        <v>264</v>
      </c>
      <c r="C30" s="130">
        <f>IFERROR(HistoricalFS!C5/HistoricalFS!C61,0)</f>
        <v>0</v>
      </c>
      <c r="D30" s="130">
        <f>IFERROR(HistoricalFS!D5/HistoricalFS!D61,0)</f>
        <v>0</v>
      </c>
      <c r="E30" s="130">
        <f>IFERROR(HistoricalFS!E5/HistoricalFS!E61,0)</f>
        <v>0</v>
      </c>
      <c r="F30" s="130">
        <f>IFERROR(HistoricalFS!F5/HistoricalFS!F61,0)</f>
        <v>0</v>
      </c>
      <c r="G30" s="130">
        <f>IFERROR(HistoricalFS!G5/HistoricalFS!G61,0)</f>
        <v>0</v>
      </c>
      <c r="H30" s="130">
        <f>IFERROR(HistoricalFS!H5/HistoricalFS!H61,0)</f>
        <v>0</v>
      </c>
      <c r="I30" s="130">
        <f>IFERROR(HistoricalFS!I5/HistoricalFS!I61,0)</f>
        <v>0</v>
      </c>
      <c r="J30" s="130">
        <f>IFERROR(HistoricalFS!J5/HistoricalFS!J61,0)</f>
        <v>0</v>
      </c>
      <c r="K30" s="130">
        <f>IFERROR(HistoricalFS!K5/HistoricalFS!K61,0)</f>
        <v>0</v>
      </c>
      <c r="L30" s="130">
        <f>IFERROR(HistoricalFS!L5/HistoricalFS!L61,0)</f>
        <v>0</v>
      </c>
      <c r="N30" s="130">
        <f t="shared" si="0"/>
        <v>0</v>
      </c>
      <c r="O30" s="130">
        <f t="shared" si="4"/>
        <v>0</v>
      </c>
    </row>
    <row r="31" spans="2:15" x14ac:dyDescent="0.35">
      <c r="B31" t="s">
        <v>265</v>
      </c>
      <c r="C31" s="130">
        <f>IFERROR(HistoricalFS!C5/SUM(HistoricalFS!C48:C49),0)</f>
        <v>0.99278072540662776</v>
      </c>
      <c r="D31" s="130">
        <f>IFERROR(HistoricalFS!D5/SUM(HistoricalFS!D48:D49),0)</f>
        <v>1.0862406235078477</v>
      </c>
      <c r="E31" s="130">
        <f>IFERROR(HistoricalFS!E5/SUM(HistoricalFS!E48:E49),0)</f>
        <v>1.2729414300671307</v>
      </c>
      <c r="F31" s="130">
        <f>IFERROR(HistoricalFS!F5/SUM(HistoricalFS!F48:F49),0)</f>
        <v>1.3871810542398777</v>
      </c>
      <c r="G31" s="130">
        <f>IFERROR(HistoricalFS!G5/SUM(HistoricalFS!G48:G49),0)</f>
        <v>1.3159225157496299</v>
      </c>
      <c r="H31" s="130">
        <f>IFERROR(HistoricalFS!H5/SUM(HistoricalFS!H48:H49),0)</f>
        <v>1.6143463835434639</v>
      </c>
      <c r="I31" s="130">
        <f>IFERROR(HistoricalFS!I5/SUM(HistoricalFS!I48:I49),0)</f>
        <v>1.9463312424575967</v>
      </c>
      <c r="J31" s="130">
        <f>IFERROR(HistoricalFS!J5/SUM(HistoricalFS!J48:J49),0)</f>
        <v>1.7439511552952927</v>
      </c>
      <c r="K31" s="130">
        <f>IFERROR(HistoricalFS!K5/SUM(HistoricalFS!K48:K49),0)</f>
        <v>1.701037383372644</v>
      </c>
      <c r="L31" s="130">
        <f>IFERROR(HistoricalFS!L5/SUM(HistoricalFS!L48:L49),0)</f>
        <v>1.9240296385645974</v>
      </c>
      <c r="N31" s="130">
        <f t="shared" si="0"/>
        <v>1.5546646029775646</v>
      </c>
      <c r="O31" s="130">
        <f t="shared" si="4"/>
        <v>1.5007637188916707</v>
      </c>
    </row>
    <row r="32" spans="2:15" x14ac:dyDescent="0.35">
      <c r="N32" s="9"/>
    </row>
    <row r="33" spans="2:15" x14ac:dyDescent="0.35">
      <c r="B33" s="127" t="s">
        <v>269</v>
      </c>
      <c r="N33" s="9"/>
    </row>
    <row r="34" spans="2:15" x14ac:dyDescent="0.35">
      <c r="B34" t="s">
        <v>266</v>
      </c>
      <c r="C34" s="131">
        <f>IFERROR(365/C27,0)</f>
        <v>65.672711874306415</v>
      </c>
      <c r="D34" s="131">
        <f t="shared" ref="D34:L34" si="5">IFERROR(365/D27,0)</f>
        <v>68.018916082924477</v>
      </c>
      <c r="E34" s="131">
        <f t="shared" si="5"/>
        <v>65.459389174478375</v>
      </c>
      <c r="F34" s="131">
        <f t="shared" si="5"/>
        <v>74.321849081957467</v>
      </c>
      <c r="G34" s="131">
        <f t="shared" si="5"/>
        <v>70.092264511505689</v>
      </c>
      <c r="H34" s="131">
        <f t="shared" si="5"/>
        <v>68.108368066688044</v>
      </c>
      <c r="I34" s="131">
        <f t="shared" si="5"/>
        <v>63.227837320378555</v>
      </c>
      <c r="J34" s="131">
        <f t="shared" si="5"/>
        <v>71.715006182078483</v>
      </c>
      <c r="K34" s="131">
        <f t="shared" si="5"/>
        <v>69.775262286029815</v>
      </c>
      <c r="L34" s="131">
        <f t="shared" si="5"/>
        <v>71.986621886369988</v>
      </c>
      <c r="N34" s="131">
        <f t="shared" si="0"/>
        <v>69.18950162137898</v>
      </c>
      <c r="O34" s="131">
        <f>MEDIAN(C34:L34)</f>
        <v>68.941815176358929</v>
      </c>
    </row>
    <row r="35" spans="2:15" x14ac:dyDescent="0.35">
      <c r="B35" t="s">
        <v>267</v>
      </c>
      <c r="C35" s="131">
        <f>IFERROR(365/C28,0)</f>
        <v>75.50070089363939</v>
      </c>
      <c r="D35" s="131">
        <f t="shared" ref="D35:L35" si="6">IFERROR(365/D28,0)</f>
        <v>74.664501857576354</v>
      </c>
      <c r="E35" s="131">
        <f t="shared" si="6"/>
        <v>84.403628666465067</v>
      </c>
      <c r="F35" s="131">
        <f t="shared" si="6"/>
        <v>87.307167009945914</v>
      </c>
      <c r="G35" s="131">
        <f t="shared" si="6"/>
        <v>93.854755553786134</v>
      </c>
      <c r="H35" s="131">
        <f t="shared" si="6"/>
        <v>107.73772823307931</v>
      </c>
      <c r="I35" s="131">
        <f t="shared" si="6"/>
        <v>101.69077517425579</v>
      </c>
      <c r="J35" s="131">
        <f t="shared" si="6"/>
        <v>93.928060128847534</v>
      </c>
      <c r="K35" s="131">
        <f t="shared" si="6"/>
        <v>97.973802073746867</v>
      </c>
      <c r="L35" s="131">
        <f t="shared" si="6"/>
        <v>106.77246011754828</v>
      </c>
      <c r="N35" s="131">
        <f t="shared" si="0"/>
        <v>94.259208757250136</v>
      </c>
      <c r="O35" s="131">
        <f t="shared" ref="O35:O37" si="7">MEDIAN(C35:L35)</f>
        <v>93.891407841316834</v>
      </c>
    </row>
    <row r="36" spans="2:15" x14ac:dyDescent="0.35">
      <c r="B36" t="s">
        <v>270</v>
      </c>
      <c r="C36" s="131">
        <f>IFERROR(365/C30,0)</f>
        <v>0</v>
      </c>
      <c r="D36" s="131">
        <f t="shared" ref="D36:L36" si="8">IFERROR(365/D30,0)</f>
        <v>0</v>
      </c>
      <c r="E36" s="131">
        <f t="shared" si="8"/>
        <v>0</v>
      </c>
      <c r="F36" s="131">
        <f t="shared" si="8"/>
        <v>0</v>
      </c>
      <c r="G36" s="131">
        <f t="shared" si="8"/>
        <v>0</v>
      </c>
      <c r="H36" s="131">
        <f t="shared" si="8"/>
        <v>0</v>
      </c>
      <c r="I36" s="131">
        <f t="shared" si="8"/>
        <v>0</v>
      </c>
      <c r="J36" s="131">
        <f t="shared" si="8"/>
        <v>0</v>
      </c>
      <c r="K36" s="131">
        <f t="shared" si="8"/>
        <v>0</v>
      </c>
      <c r="L36" s="131">
        <f t="shared" si="8"/>
        <v>0</v>
      </c>
      <c r="N36" s="131">
        <f t="shared" si="0"/>
        <v>0</v>
      </c>
      <c r="O36" s="131">
        <f t="shared" si="7"/>
        <v>0</v>
      </c>
    </row>
    <row r="37" spans="2:15" x14ac:dyDescent="0.35">
      <c r="B37" t="s">
        <v>268</v>
      </c>
      <c r="C37" s="131">
        <f>IFERROR(SUM(C34,C36)-C35,0)</f>
        <v>-9.8279890193329749</v>
      </c>
      <c r="D37" s="131">
        <f t="shared" ref="D37:L37" si="9">IFERROR(SUM(D34,D36)-D35,0)</f>
        <v>-6.6455857746518774</v>
      </c>
      <c r="E37" s="131">
        <f t="shared" si="9"/>
        <v>-18.944239491986693</v>
      </c>
      <c r="F37" s="131">
        <f t="shared" si="9"/>
        <v>-12.985317927988447</v>
      </c>
      <c r="G37" s="131">
        <f t="shared" si="9"/>
        <v>-23.762491042280445</v>
      </c>
      <c r="H37" s="131">
        <f t="shared" si="9"/>
        <v>-39.629360166391265</v>
      </c>
      <c r="I37" s="131">
        <f t="shared" si="9"/>
        <v>-38.462937853877236</v>
      </c>
      <c r="J37" s="131">
        <f t="shared" si="9"/>
        <v>-22.213053946769051</v>
      </c>
      <c r="K37" s="131">
        <f t="shared" si="9"/>
        <v>-28.198539787717053</v>
      </c>
      <c r="L37" s="131">
        <f t="shared" si="9"/>
        <v>-34.785838231178289</v>
      </c>
      <c r="N37" s="131">
        <f>AVERAGE(C37:L37)</f>
        <v>-23.545535324217333</v>
      </c>
      <c r="O37" s="131">
        <f t="shared" si="7"/>
        <v>-22.987772494524748</v>
      </c>
    </row>
    <row r="38" spans="2:15" x14ac:dyDescent="0.35">
      <c r="N38" s="9"/>
    </row>
    <row r="39" spans="2:15" x14ac:dyDescent="0.35">
      <c r="B39" t="s">
        <v>271</v>
      </c>
      <c r="C39" s="133">
        <f>IFERROR(HistoricalFS!C80/HistoricalFS!C5,0)</f>
        <v>0.16837509491268032</v>
      </c>
      <c r="D39" s="133">
        <f>IFERROR(HistoricalFS!D80/HistoricalFS!D5,0)</f>
        <v>0.18743087263548963</v>
      </c>
      <c r="E39" s="133">
        <f>IFERROR(HistoricalFS!E80/HistoricalFS!E5,0)</f>
        <v>0.179510130027215</v>
      </c>
      <c r="F39" s="133">
        <f>IFERROR(HistoricalFS!F80/HistoricalFS!F5,0)</f>
        <v>0.18727627187716844</v>
      </c>
      <c r="G39" s="133">
        <f>IFERROR(HistoricalFS!G80/HistoricalFS!G5,0)</f>
        <v>0.23114897682936539</v>
      </c>
      <c r="H39" s="133">
        <f>IFERROR(HistoricalFS!H80/HistoricalFS!H5,0)</f>
        <v>0.1963564916434426</v>
      </c>
      <c r="I39" s="133">
        <f>IFERROR(HistoricalFS!I80/HistoricalFS!I5,0)</f>
        <v>0.15307937070322347</v>
      </c>
      <c r="J39" s="133">
        <f>IFERROR(HistoricalFS!J80/HistoricalFS!J5,0)</f>
        <v>0.16405284050237523</v>
      </c>
      <c r="K39" s="133">
        <f>IFERROR(HistoricalFS!K80/HistoricalFS!K5,0)</f>
        <v>0.21899503036996135</v>
      </c>
      <c r="L39" s="133">
        <f>IFERROR(HistoricalFS!L80/HistoricalFS!L5,0)</f>
        <v>0.19023789532605653</v>
      </c>
      <c r="N39" s="130">
        <f t="shared" si="0"/>
        <v>0.18978754221269975</v>
      </c>
      <c r="O39" s="130">
        <f t="shared" ref="O39:O41" si="10">MEDIAN(C39:L39)</f>
        <v>0.18735357225632904</v>
      </c>
    </row>
    <row r="40" spans="2:15" x14ac:dyDescent="0.35">
      <c r="B40" t="s">
        <v>272</v>
      </c>
      <c r="C40" s="133">
        <f>IFERROR(HistoricalFS!C80/HistoricalFS!C65,0)</f>
        <v>0.13868042526579111</v>
      </c>
      <c r="D40" s="133">
        <f>IFERROR(HistoricalFS!D80/HistoricalFS!D65,0)</f>
        <v>0.16658054921927182</v>
      </c>
      <c r="E40" s="133">
        <f>IFERROR(HistoricalFS!E80/HistoricalFS!E65,0)</f>
        <v>0.17653986153736351</v>
      </c>
      <c r="F40" s="133">
        <f>IFERROR(HistoricalFS!F80/HistoricalFS!F65,0)</f>
        <v>0.18521786492374728</v>
      </c>
      <c r="G40" s="133">
        <f>IFERROR(HistoricalFS!G80/HistoricalFS!G65,0)</f>
        <v>0.21601510543107216</v>
      </c>
      <c r="H40" s="133">
        <f>IFERROR(HistoricalFS!H80/HistoricalFS!H65,0)</f>
        <v>0.20461924628841163</v>
      </c>
      <c r="I40" s="133">
        <f>IFERROR(HistoricalFS!I80/HistoricalFS!I65,0)</f>
        <v>0.18031879033034767</v>
      </c>
      <c r="J40" s="133">
        <f>IFERROR(HistoricalFS!J80/HistoricalFS!J65,0)</f>
        <v>0.18534039111895309</v>
      </c>
      <c r="K40" s="133">
        <f>IFERROR(HistoricalFS!K80/HistoricalFS!K65,0)</f>
        <v>0.24151019993910483</v>
      </c>
      <c r="L40" s="133">
        <f>IFERROR(HistoricalFS!L80/HistoricalFS!L65,0)</f>
        <v>0.22027636627605518</v>
      </c>
      <c r="N40" s="130">
        <f t="shared" si="0"/>
        <v>0.19737981945159189</v>
      </c>
      <c r="O40" s="130">
        <f t="shared" si="10"/>
        <v>0.18527912802135019</v>
      </c>
    </row>
    <row r="41" spans="2:15" x14ac:dyDescent="0.35">
      <c r="B41" t="s">
        <v>273</v>
      </c>
      <c r="C41" s="133">
        <f>IFERROR(HistoricalFS!C80/HistoricalFS!C50,0)</f>
        <v>0</v>
      </c>
      <c r="D41" s="133">
        <f>IFERROR(HistoricalFS!D80/HistoricalFS!D50,0)</f>
        <v>0</v>
      </c>
      <c r="E41" s="133">
        <f>IFERROR(HistoricalFS!E80/HistoricalFS!E50,0)</f>
        <v>0</v>
      </c>
      <c r="F41" s="133">
        <f>IFERROR(HistoricalFS!F80/HistoricalFS!F50,0)</f>
        <v>3.6699762572846968</v>
      </c>
      <c r="G41" s="133">
        <f>IFERROR(HistoricalFS!G80/HistoricalFS!G50,0)</f>
        <v>4.36131455399061</v>
      </c>
      <c r="H41" s="133">
        <f>IFERROR(HistoricalFS!H80/HistoricalFS!H50,0)</f>
        <v>4.3633540372670812</v>
      </c>
      <c r="I41" s="133">
        <f>IFERROR(HistoricalFS!I80/HistoricalFS!I50,0)</f>
        <v>2.7071936377876851</v>
      </c>
      <c r="J41" s="133">
        <f>IFERROR(HistoricalFS!J80/HistoricalFS!J50,0)</f>
        <v>3.0159109941380549</v>
      </c>
      <c r="K41" s="133">
        <f>IFERROR(HistoricalFS!K80/HistoricalFS!K50,0)</f>
        <v>4.3386410599246386</v>
      </c>
      <c r="L41" s="133">
        <f>IFERROR(HistoricalFS!L80/HistoricalFS!L50,0)</f>
        <v>3.7037925021795988</v>
      </c>
      <c r="N41" s="130">
        <f t="shared" si="0"/>
        <v>2.9066870047302631</v>
      </c>
      <c r="O41" s="130">
        <f t="shared" si="10"/>
        <v>3.342943625711376</v>
      </c>
    </row>
  </sheetData>
  <mergeCells count="1">
    <mergeCell ref="B2:M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7952-4C91-41D6-A8A5-398503F1A594}">
  <dimension ref="B5:J51"/>
  <sheetViews>
    <sheetView showGridLines="0" zoomScale="85" zoomScaleNormal="85" workbookViewId="0">
      <pane ySplit="4" topLeftCell="A5" activePane="bottomLeft" state="frozen"/>
      <selection pane="bottomLeft" activeCell="E7" sqref="E7"/>
    </sheetView>
  </sheetViews>
  <sheetFormatPr defaultRowHeight="14.5" x14ac:dyDescent="0.35"/>
  <cols>
    <col min="1" max="1" width="1.81640625" customWidth="1"/>
    <col min="2" max="2" width="29.08984375" style="18" bestFit="1" customWidth="1"/>
    <col min="3" max="3" width="11.7265625" style="7" bestFit="1" customWidth="1"/>
    <col min="4" max="4" width="9.453125" style="7" bestFit="1" customWidth="1"/>
    <col min="5" max="5" width="11" bestFit="1" customWidth="1"/>
    <col min="6" max="6" width="8.81640625" style="7" bestFit="1" customWidth="1"/>
    <col min="7" max="7" width="7.26953125" style="7" bestFit="1" customWidth="1"/>
    <col min="8" max="8" width="14.81640625" style="7" customWidth="1"/>
    <col min="9" max="9" width="7.36328125" style="7" bestFit="1" customWidth="1"/>
    <col min="10" max="10" width="9.81640625" style="7" bestFit="1" customWidth="1"/>
  </cols>
  <sheetData>
    <row r="5" spans="2:10" x14ac:dyDescent="0.35">
      <c r="B5" s="17" t="s">
        <v>0</v>
      </c>
      <c r="C5" s="4"/>
      <c r="D5" s="4"/>
      <c r="E5" s="23"/>
      <c r="F5" s="4"/>
      <c r="G5" s="4"/>
      <c r="H5" s="4"/>
      <c r="I5" s="4"/>
      <c r="J5" s="4"/>
    </row>
    <row r="7" spans="2:10" x14ac:dyDescent="0.35">
      <c r="B7" s="20" t="s">
        <v>1</v>
      </c>
      <c r="C7" s="5"/>
      <c r="D7" s="5"/>
      <c r="E7" s="24"/>
    </row>
    <row r="9" spans="2:10" x14ac:dyDescent="0.35">
      <c r="B9" s="19" t="s">
        <v>2</v>
      </c>
      <c r="C9" s="6"/>
      <c r="D9" s="6"/>
      <c r="E9" s="25"/>
      <c r="F9" s="6"/>
      <c r="G9" s="6"/>
      <c r="H9" s="19"/>
      <c r="I9" s="6"/>
      <c r="J9" s="6"/>
    </row>
    <row r="12" spans="2:10" x14ac:dyDescent="0.35">
      <c r="B12" s="21"/>
      <c r="C12" s="28"/>
      <c r="D12" s="28"/>
      <c r="E12" s="44"/>
      <c r="F12" s="28"/>
      <c r="G12" s="28" t="s">
        <v>7</v>
      </c>
      <c r="H12" s="45" t="s">
        <v>7</v>
      </c>
      <c r="I12" s="28" t="s">
        <v>51</v>
      </c>
      <c r="J12" s="28" t="s">
        <v>52</v>
      </c>
    </row>
    <row r="13" spans="2:10" ht="16.5" x14ac:dyDescent="0.35">
      <c r="B13" s="43" t="s">
        <v>3</v>
      </c>
      <c r="C13" s="8" t="s">
        <v>4</v>
      </c>
      <c r="D13" s="8" t="s">
        <v>5</v>
      </c>
      <c r="E13" s="26" t="s">
        <v>6</v>
      </c>
      <c r="F13" s="139" t="s">
        <v>53</v>
      </c>
      <c r="G13" s="8" t="s">
        <v>8</v>
      </c>
      <c r="H13" s="46" t="s">
        <v>9</v>
      </c>
      <c r="I13" s="8" t="s">
        <v>54</v>
      </c>
      <c r="J13" s="8" t="s">
        <v>55</v>
      </c>
    </row>
    <row r="14" spans="2:10" x14ac:dyDescent="0.35">
      <c r="F14" s="140"/>
      <c r="H14" s="13"/>
    </row>
    <row r="15" spans="2:10" x14ac:dyDescent="0.35">
      <c r="B15" s="18" t="s">
        <v>13</v>
      </c>
      <c r="C15" s="22" t="s">
        <v>21</v>
      </c>
      <c r="D15" s="7">
        <f>COMPS!F7</f>
        <v>11283</v>
      </c>
      <c r="E15">
        <f>COMPS!E7</f>
        <v>855894.78</v>
      </c>
      <c r="F15" s="141">
        <v>0.3</v>
      </c>
      <c r="G15" s="10">
        <f>D15/E15</f>
        <v>1.3182695190640139E-2</v>
      </c>
      <c r="H15" s="14">
        <f>D15/(D15+E15)</f>
        <v>1.3011172864692173E-2</v>
      </c>
      <c r="I15" s="29">
        <v>0.91100000000000003</v>
      </c>
      <c r="J15" s="33">
        <f>I15/(1+(1-F15)*G15)</f>
        <v>0.90267026116260651</v>
      </c>
    </row>
    <row r="16" spans="2:10" x14ac:dyDescent="0.35">
      <c r="B16" s="18" t="s">
        <v>14</v>
      </c>
      <c r="C16" s="22" t="s">
        <v>21</v>
      </c>
      <c r="D16" s="7">
        <f>COMPS!F8</f>
        <v>8737</v>
      </c>
      <c r="E16">
        <f>COMPS!E8</f>
        <v>458546.98</v>
      </c>
      <c r="F16" s="141">
        <v>0.3</v>
      </c>
      <c r="G16" s="10">
        <f t="shared" ref="G16" si="0">D16/E16</f>
        <v>1.9053663814338064E-2</v>
      </c>
      <c r="H16" s="14">
        <f t="shared" ref="H16:H19" si="1">D16/(D16+E16)</f>
        <v>1.8697409656543332E-2</v>
      </c>
      <c r="I16" s="30">
        <v>0.78</v>
      </c>
      <c r="J16" s="33">
        <f>I16/(1+(1-F16)*G16)</f>
        <v>0.76973362795840294</v>
      </c>
    </row>
    <row r="17" spans="2:10" x14ac:dyDescent="0.35">
      <c r="B17" s="18" t="s">
        <v>15</v>
      </c>
      <c r="C17" s="22" t="s">
        <v>21</v>
      </c>
      <c r="D17" s="7">
        <f>COMPS!F9</f>
        <v>5215</v>
      </c>
      <c r="E17">
        <f>COMPS!E9</f>
        <v>365503.55</v>
      </c>
      <c r="F17" s="141">
        <v>0.3</v>
      </c>
      <c r="G17" s="10">
        <f>D17/E17</f>
        <v>1.4267987273995014E-2</v>
      </c>
      <c r="H17" s="14">
        <f t="shared" si="1"/>
        <v>1.4067275565250241E-2</v>
      </c>
      <c r="I17" s="7">
        <v>1.02</v>
      </c>
      <c r="J17" s="33">
        <f t="shared" ref="J17:J19" si="2">I17/(1+(1-F17)*G17)</f>
        <v>1.0099133979432162</v>
      </c>
    </row>
    <row r="18" spans="2:10" x14ac:dyDescent="0.35">
      <c r="B18" s="18" t="s">
        <v>16</v>
      </c>
      <c r="C18" s="22" t="s">
        <v>21</v>
      </c>
      <c r="D18" s="7">
        <f>COMPS!F10</f>
        <v>20291</v>
      </c>
      <c r="E18">
        <f>COMPS!E10</f>
        <v>181891.68</v>
      </c>
      <c r="F18" s="141">
        <v>0.3</v>
      </c>
      <c r="G18" s="10">
        <f>D18/E18</f>
        <v>0.11155540484314622</v>
      </c>
      <c r="H18" s="14">
        <f t="shared" si="1"/>
        <v>0.10035973407811194</v>
      </c>
      <c r="I18" s="7">
        <v>0.77</v>
      </c>
      <c r="J18" s="33">
        <f t="shared" si="2"/>
        <v>0.71422689101599435</v>
      </c>
    </row>
    <row r="19" spans="2:10" x14ac:dyDescent="0.35">
      <c r="B19" s="18" t="s">
        <v>17</v>
      </c>
      <c r="C19" s="22" t="s">
        <v>21</v>
      </c>
      <c r="D19" s="7">
        <f>COMPS!F11</f>
        <v>2186.1999999999998</v>
      </c>
      <c r="E19">
        <f>COMPS!E11</f>
        <v>161841.4</v>
      </c>
      <c r="F19" s="141">
        <v>0.3</v>
      </c>
      <c r="G19" s="10">
        <f>D19/E19</f>
        <v>1.3508286507655025E-2</v>
      </c>
      <c r="H19" s="14">
        <f t="shared" si="1"/>
        <v>1.3328244758808882E-2</v>
      </c>
      <c r="I19" s="29">
        <v>0.80500000000000005</v>
      </c>
      <c r="J19" s="33">
        <f t="shared" si="2"/>
        <v>0.79745938312219733</v>
      </c>
    </row>
    <row r="20" spans="2:10" x14ac:dyDescent="0.35">
      <c r="F20" s="140"/>
      <c r="H20" s="13"/>
    </row>
    <row r="21" spans="2:10" x14ac:dyDescent="0.35">
      <c r="E21" s="27" t="s">
        <v>22</v>
      </c>
      <c r="F21" s="11">
        <f>AVERAGE(F15:F19)</f>
        <v>0.3</v>
      </c>
      <c r="G21" s="11">
        <f>AVERAGE(G15:G19)</f>
        <v>3.4313607525954901E-2</v>
      </c>
      <c r="H21" s="15">
        <f t="shared" ref="H21:J21" si="3">AVERAGE(H15:H19)</f>
        <v>3.1892767384681317E-2</v>
      </c>
      <c r="I21" s="31">
        <f t="shared" si="3"/>
        <v>0.85720000000000007</v>
      </c>
      <c r="J21" s="31">
        <f t="shared" si="3"/>
        <v>0.83880071224048347</v>
      </c>
    </row>
    <row r="22" spans="2:10" x14ac:dyDescent="0.35">
      <c r="E22" s="26" t="s">
        <v>23</v>
      </c>
      <c r="F22" s="12">
        <f>MEDIAN(F15:F19)</f>
        <v>0.3</v>
      </c>
      <c r="G22" s="12">
        <f t="shared" ref="G22:J22" si="4">MEDIAN(G15:G19)</f>
        <v>1.4267987273995014E-2</v>
      </c>
      <c r="H22" s="16">
        <f t="shared" si="4"/>
        <v>1.4067275565250241E-2</v>
      </c>
      <c r="I22" s="32">
        <f t="shared" si="4"/>
        <v>0.80500000000000005</v>
      </c>
      <c r="J22" s="32">
        <f t="shared" si="4"/>
        <v>0.79745938312219733</v>
      </c>
    </row>
    <row r="23" spans="2:10" x14ac:dyDescent="0.35">
      <c r="H23" s="13"/>
    </row>
    <row r="24" spans="2:10" x14ac:dyDescent="0.35">
      <c r="H24" s="18"/>
      <c r="I24" s="18"/>
    </row>
    <row r="25" spans="2:10" x14ac:dyDescent="0.35">
      <c r="B25" s="43" t="s">
        <v>24</v>
      </c>
      <c r="C25" s="6"/>
      <c r="D25" s="6"/>
      <c r="E25" s="25"/>
      <c r="F25" s="7" t="s">
        <v>50</v>
      </c>
      <c r="H25" s="43" t="s">
        <v>25</v>
      </c>
      <c r="I25" s="19"/>
      <c r="J25" s="6"/>
    </row>
    <row r="26" spans="2:10" x14ac:dyDescent="0.35">
      <c r="H26" s="18"/>
      <c r="I26" s="18"/>
    </row>
    <row r="27" spans="2:10" x14ac:dyDescent="0.35">
      <c r="B27" s="18" t="s">
        <v>26</v>
      </c>
      <c r="E27" s="10">
        <f>416/8737</f>
        <v>4.76135973446263E-2</v>
      </c>
      <c r="H27" s="18" t="s">
        <v>29</v>
      </c>
      <c r="J27" s="47">
        <v>6.83E-2</v>
      </c>
    </row>
    <row r="28" spans="2:10" x14ac:dyDescent="0.35">
      <c r="B28" s="18" t="s">
        <v>27</v>
      </c>
      <c r="E28" s="9">
        <f>F16</f>
        <v>0.3</v>
      </c>
      <c r="H28" s="18" t="s">
        <v>30</v>
      </c>
      <c r="J28" s="9">
        <f>RM!F10-WACC!J27</f>
        <v>9.0581481481481485E-2</v>
      </c>
    </row>
    <row r="29" spans="2:10" ht="16.5" x14ac:dyDescent="0.35">
      <c r="B29" s="34" t="s">
        <v>28</v>
      </c>
      <c r="C29" s="35"/>
      <c r="D29" s="35"/>
      <c r="E29" s="38">
        <f>E27*(1-E28)</f>
        <v>3.3329518141238405E-2</v>
      </c>
      <c r="H29" s="18" t="s">
        <v>31</v>
      </c>
      <c r="J29" s="33">
        <f>J38</f>
        <v>0.81584911312675312</v>
      </c>
    </row>
    <row r="30" spans="2:10" x14ac:dyDescent="0.35">
      <c r="H30" s="34" t="s">
        <v>25</v>
      </c>
      <c r="I30" s="35"/>
      <c r="J30" s="38">
        <f>J27+J28*J29</f>
        <v>0.14220082133237408</v>
      </c>
    </row>
    <row r="33" spans="2:10" x14ac:dyDescent="0.35">
      <c r="B33" s="43" t="s">
        <v>38</v>
      </c>
      <c r="C33" s="6"/>
      <c r="D33" s="6"/>
      <c r="E33" s="6"/>
      <c r="H33" s="43" t="s">
        <v>39</v>
      </c>
      <c r="I33" s="19"/>
      <c r="J33" s="6"/>
    </row>
    <row r="35" spans="2:10" x14ac:dyDescent="0.35">
      <c r="C35" s="6"/>
      <c r="D35" s="8" t="s">
        <v>43</v>
      </c>
      <c r="E35" s="8" t="s">
        <v>44</v>
      </c>
      <c r="H35" s="18" t="s">
        <v>45</v>
      </c>
      <c r="J35" s="33">
        <f>J22</f>
        <v>0.79745938312219733</v>
      </c>
    </row>
    <row r="36" spans="2:10" x14ac:dyDescent="0.35">
      <c r="B36" s="18" t="s">
        <v>5</v>
      </c>
      <c r="C36" s="7">
        <f>D16</f>
        <v>8737</v>
      </c>
      <c r="D36" s="10">
        <f>C36/$C$38</f>
        <v>1.8697409656543332E-2</v>
      </c>
      <c r="E36" s="9">
        <f>H21</f>
        <v>3.1892767384681317E-2</v>
      </c>
      <c r="H36" s="18" t="s">
        <v>46</v>
      </c>
      <c r="J36" s="9">
        <f>E40</f>
        <v>3.294342435447338E-2</v>
      </c>
    </row>
    <row r="37" spans="2:10" x14ac:dyDescent="0.35">
      <c r="B37" s="18" t="s">
        <v>40</v>
      </c>
      <c r="C37" s="7">
        <f>E16</f>
        <v>458546.98</v>
      </c>
      <c r="D37" s="10">
        <f>C37/$C$38</f>
        <v>0.98130259034345668</v>
      </c>
      <c r="E37" s="9">
        <f>E38-E36</f>
        <v>0.96810723261531872</v>
      </c>
      <c r="H37" s="18" t="s">
        <v>27</v>
      </c>
      <c r="J37" s="9">
        <f>E28</f>
        <v>0.3</v>
      </c>
    </row>
    <row r="38" spans="2:10" x14ac:dyDescent="0.35">
      <c r="B38" s="34" t="s">
        <v>41</v>
      </c>
      <c r="C38" s="35">
        <f>SUM(C36:C37)</f>
        <v>467283.98</v>
      </c>
      <c r="D38" s="36">
        <f>C38/$C$38</f>
        <v>1</v>
      </c>
      <c r="E38" s="37">
        <f>D38</f>
        <v>1</v>
      </c>
      <c r="H38" s="34" t="s">
        <v>39</v>
      </c>
      <c r="I38" s="35"/>
      <c r="J38" s="39">
        <f>J35*(1+(1-J37)*J36)</f>
        <v>0.81584911312675312</v>
      </c>
    </row>
    <row r="39" spans="2:10" x14ac:dyDescent="0.35">
      <c r="E39" s="7"/>
    </row>
    <row r="40" spans="2:10" x14ac:dyDescent="0.35">
      <c r="B40" s="18" t="s">
        <v>42</v>
      </c>
      <c r="D40" s="9">
        <f>D36/D37</f>
        <v>1.9053663814338068E-2</v>
      </c>
      <c r="E40" s="9">
        <f>E36/E37</f>
        <v>3.294342435447338E-2</v>
      </c>
    </row>
    <row r="43" spans="2:10" x14ac:dyDescent="0.35">
      <c r="H43" s="43" t="s">
        <v>0</v>
      </c>
      <c r="I43" s="19"/>
      <c r="J43" s="6"/>
    </row>
    <row r="44" spans="2:10" x14ac:dyDescent="0.35">
      <c r="H44" s="18"/>
      <c r="I44" s="18"/>
    </row>
    <row r="45" spans="2:10" x14ac:dyDescent="0.35">
      <c r="H45" s="18" t="s">
        <v>25</v>
      </c>
      <c r="J45" s="9">
        <f>J30</f>
        <v>0.14220082133237408</v>
      </c>
    </row>
    <row r="46" spans="2:10" x14ac:dyDescent="0.35">
      <c r="H46" s="18" t="s">
        <v>47</v>
      </c>
      <c r="J46" s="9">
        <f>E37</f>
        <v>0.96810723261531872</v>
      </c>
    </row>
    <row r="47" spans="2:10" x14ac:dyDescent="0.35">
      <c r="H47" s="18"/>
    </row>
    <row r="48" spans="2:10" x14ac:dyDescent="0.35">
      <c r="H48" s="18" t="s">
        <v>24</v>
      </c>
      <c r="J48" s="9">
        <f>E29</f>
        <v>3.3329518141238405E-2</v>
      </c>
    </row>
    <row r="49" spans="8:10" x14ac:dyDescent="0.35">
      <c r="H49" s="18" t="s">
        <v>48</v>
      </c>
      <c r="J49" s="9">
        <f>E36</f>
        <v>3.1892767384681317E-2</v>
      </c>
    </row>
    <row r="50" spans="8:10" x14ac:dyDescent="0.35">
      <c r="H50" s="18"/>
    </row>
    <row r="51" spans="8:10" x14ac:dyDescent="0.35">
      <c r="H51" s="40" t="s">
        <v>49</v>
      </c>
      <c r="I51" s="41"/>
      <c r="J51" s="42">
        <f>(J45*J46)+(J48*J49)</f>
        <v>0.13872861418483207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D501-41E4-47A4-9130-F5B3BA2EC307}">
  <dimension ref="B4:N64"/>
  <sheetViews>
    <sheetView showGridLines="0" workbookViewId="0">
      <pane ySplit="3" topLeftCell="A4" activePane="bottomLeft" state="frozen"/>
      <selection pane="bottomLeft" activeCell="A4" sqref="A4:XFD4"/>
    </sheetView>
  </sheetViews>
  <sheetFormatPr defaultRowHeight="14.5" x14ac:dyDescent="0.35"/>
  <cols>
    <col min="1" max="1" width="1.81640625" customWidth="1"/>
    <col min="2" max="2" width="23" bestFit="1" customWidth="1"/>
    <col min="3" max="6" width="8.81640625" bestFit="1" customWidth="1"/>
    <col min="7" max="8" width="7.90625" bestFit="1" customWidth="1"/>
    <col min="9" max="14" width="9.453125" bestFit="1" customWidth="1"/>
  </cols>
  <sheetData>
    <row r="4" spans="2:14" x14ac:dyDescent="0.35">
      <c r="B4" s="61" t="s">
        <v>156</v>
      </c>
      <c r="C4" s="60">
        <v>42064</v>
      </c>
      <c r="D4" s="60">
        <v>42430</v>
      </c>
      <c r="E4" s="60">
        <v>42795</v>
      </c>
      <c r="F4" s="60">
        <v>43160</v>
      </c>
      <c r="G4" s="60">
        <v>43525</v>
      </c>
      <c r="H4" s="60">
        <v>43891</v>
      </c>
      <c r="I4" s="60">
        <v>44256</v>
      </c>
      <c r="J4" s="60">
        <v>44621</v>
      </c>
      <c r="K4" s="60">
        <v>44986</v>
      </c>
      <c r="L4" s="60">
        <v>45352</v>
      </c>
      <c r="M4" s="60">
        <v>45717</v>
      </c>
      <c r="N4" s="60">
        <v>46082</v>
      </c>
    </row>
    <row r="5" spans="2:14" s="64" customFormat="1" x14ac:dyDescent="0.35"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</row>
    <row r="6" spans="2:14" x14ac:dyDescent="0.35">
      <c r="B6" s="44" t="s">
        <v>129</v>
      </c>
      <c r="C6" s="66">
        <v>572</v>
      </c>
      <c r="D6" s="66">
        <v>1144</v>
      </c>
      <c r="E6" s="66">
        <v>1144</v>
      </c>
      <c r="F6" s="66">
        <v>1088</v>
      </c>
      <c r="G6" s="66">
        <v>2170</v>
      </c>
      <c r="H6" s="66">
        <v>2122</v>
      </c>
      <c r="I6" s="66">
        <v>2124</v>
      </c>
      <c r="J6" s="66">
        <v>2098</v>
      </c>
      <c r="K6" s="66">
        <v>2069</v>
      </c>
      <c r="L6" s="66">
        <v>2071</v>
      </c>
      <c r="M6" s="66">
        <v>2073</v>
      </c>
      <c r="N6" s="66">
        <v>2024</v>
      </c>
    </row>
    <row r="7" spans="2:14" x14ac:dyDescent="0.35">
      <c r="B7" s="44" t="s">
        <v>97</v>
      </c>
      <c r="C7" s="66">
        <v>50164</v>
      </c>
      <c r="D7" s="66">
        <v>60600</v>
      </c>
      <c r="E7" s="66">
        <v>67838</v>
      </c>
      <c r="F7" s="66">
        <v>63835</v>
      </c>
      <c r="G7" s="66">
        <v>62778</v>
      </c>
      <c r="H7" s="66">
        <v>63328</v>
      </c>
      <c r="I7" s="66">
        <v>74227</v>
      </c>
      <c r="J7" s="66">
        <v>73252</v>
      </c>
      <c r="K7" s="66">
        <v>73338</v>
      </c>
      <c r="L7" s="66">
        <v>86045</v>
      </c>
      <c r="M7" s="66">
        <v>93745</v>
      </c>
      <c r="N7" s="66">
        <v>90828</v>
      </c>
    </row>
    <row r="8" spans="2:14" x14ac:dyDescent="0.35">
      <c r="B8" s="44" t="s">
        <v>130</v>
      </c>
      <c r="C8" s="66">
        <v>0</v>
      </c>
      <c r="D8" s="66">
        <v>0</v>
      </c>
      <c r="E8" s="66">
        <v>0</v>
      </c>
      <c r="F8" s="66">
        <v>0</v>
      </c>
      <c r="G8" s="66">
        <v>0</v>
      </c>
      <c r="H8" s="66">
        <v>4633</v>
      </c>
      <c r="I8" s="66">
        <v>5325</v>
      </c>
      <c r="J8" s="66">
        <v>5474</v>
      </c>
      <c r="K8" s="66">
        <v>8299</v>
      </c>
      <c r="L8" s="66">
        <v>8359</v>
      </c>
      <c r="M8" s="66">
        <v>8227</v>
      </c>
      <c r="N8" s="66">
        <v>9176</v>
      </c>
    </row>
    <row r="9" spans="2:14" x14ac:dyDescent="0.35">
      <c r="B9" t="s">
        <v>131</v>
      </c>
      <c r="C9" s="66">
        <v>0</v>
      </c>
      <c r="D9" s="66">
        <v>0</v>
      </c>
      <c r="E9" s="66">
        <v>0</v>
      </c>
      <c r="F9" s="66">
        <v>0</v>
      </c>
      <c r="G9" s="66">
        <v>0</v>
      </c>
      <c r="H9" s="66">
        <v>4633</v>
      </c>
      <c r="I9" s="66">
        <v>5325</v>
      </c>
      <c r="J9" s="66">
        <v>5474</v>
      </c>
      <c r="K9" s="66">
        <v>8299</v>
      </c>
      <c r="L9" s="66">
        <v>8359</v>
      </c>
      <c r="M9" s="66">
        <v>8227</v>
      </c>
      <c r="N9" s="66">
        <v>9176</v>
      </c>
    </row>
    <row r="10" spans="2:14" x14ac:dyDescent="0.35">
      <c r="B10" s="44" t="s">
        <v>132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</row>
    <row r="11" spans="2:14" x14ac:dyDescent="0.35">
      <c r="B11" t="s">
        <v>133</v>
      </c>
      <c r="C11" s="66">
        <v>0</v>
      </c>
      <c r="D11" s="66">
        <v>0</v>
      </c>
      <c r="E11" s="66">
        <v>0</v>
      </c>
      <c r="F11" s="66">
        <v>1</v>
      </c>
      <c r="G11" s="66">
        <v>58</v>
      </c>
      <c r="H11" s="66">
        <v>394</v>
      </c>
      <c r="I11" s="66">
        <v>431</v>
      </c>
      <c r="J11" s="66">
        <v>386</v>
      </c>
      <c r="K11" s="66">
        <v>388</v>
      </c>
      <c r="L11" s="66">
        <v>345</v>
      </c>
      <c r="M11" s="66">
        <v>385</v>
      </c>
      <c r="N11" s="66">
        <v>445</v>
      </c>
    </row>
    <row r="12" spans="2:14" x14ac:dyDescent="0.35">
      <c r="B12" t="s">
        <v>134</v>
      </c>
      <c r="C12" s="66">
        <v>140</v>
      </c>
      <c r="D12" s="66">
        <v>386</v>
      </c>
      <c r="E12" s="66">
        <v>367</v>
      </c>
      <c r="F12" s="66">
        <v>694</v>
      </c>
      <c r="G12" s="66">
        <v>1655</v>
      </c>
      <c r="H12" s="66">
        <v>2852</v>
      </c>
      <c r="I12" s="66">
        <v>2645</v>
      </c>
      <c r="J12" s="66">
        <v>4134</v>
      </c>
      <c r="K12" s="66">
        <v>3865</v>
      </c>
      <c r="L12" s="66">
        <v>3956</v>
      </c>
      <c r="M12" s="66">
        <v>4164</v>
      </c>
      <c r="N12" s="66">
        <v>4744</v>
      </c>
    </row>
    <row r="13" spans="2:14" x14ac:dyDescent="0.35">
      <c r="B13" t="s">
        <v>135</v>
      </c>
      <c r="C13" s="66">
        <v>27</v>
      </c>
      <c r="D13" s="66">
        <v>28</v>
      </c>
      <c r="E13" s="66">
        <v>0</v>
      </c>
      <c r="F13" s="66">
        <v>0</v>
      </c>
      <c r="G13" s="66">
        <v>0</v>
      </c>
      <c r="H13" s="66">
        <v>0</v>
      </c>
      <c r="I13" s="66">
        <v>0</v>
      </c>
      <c r="J13" s="66">
        <v>0</v>
      </c>
      <c r="K13" s="66">
        <v>0</v>
      </c>
      <c r="L13" s="66">
        <v>0</v>
      </c>
      <c r="M13" s="66">
        <v>0</v>
      </c>
      <c r="N13" s="66">
        <v>0</v>
      </c>
    </row>
    <row r="14" spans="2:14" x14ac:dyDescent="0.35">
      <c r="B14" t="s">
        <v>136</v>
      </c>
      <c r="C14" s="66">
        <v>15386</v>
      </c>
      <c r="D14" s="66">
        <v>12940</v>
      </c>
      <c r="E14" s="66">
        <v>13799</v>
      </c>
      <c r="F14" s="66">
        <v>13731</v>
      </c>
      <c r="G14" s="66">
        <v>17405</v>
      </c>
      <c r="H14" s="66">
        <v>18471</v>
      </c>
      <c r="I14" s="66">
        <v>22759</v>
      </c>
      <c r="J14" s="66">
        <v>31385</v>
      </c>
      <c r="K14" s="66">
        <v>36637</v>
      </c>
      <c r="L14" s="66">
        <v>35244</v>
      </c>
      <c r="M14" s="66">
        <v>39201</v>
      </c>
      <c r="N14" s="66">
        <v>47071</v>
      </c>
    </row>
    <row r="15" spans="2:14" x14ac:dyDescent="0.35">
      <c r="B15" s="44" t="s">
        <v>94</v>
      </c>
      <c r="C15" s="67">
        <v>66289</v>
      </c>
      <c r="D15" s="67">
        <v>75098</v>
      </c>
      <c r="E15" s="67">
        <v>83148</v>
      </c>
      <c r="F15" s="67">
        <v>79349</v>
      </c>
      <c r="G15" s="67">
        <v>84066</v>
      </c>
      <c r="H15" s="67">
        <v>91800</v>
      </c>
      <c r="I15" s="67">
        <v>107511</v>
      </c>
      <c r="J15" s="67">
        <v>116729</v>
      </c>
      <c r="K15" s="67">
        <v>124596</v>
      </c>
      <c r="L15" s="67">
        <v>136020</v>
      </c>
      <c r="M15" s="67">
        <v>147795</v>
      </c>
      <c r="N15" s="67">
        <v>154288</v>
      </c>
    </row>
    <row r="16" spans="2:14" x14ac:dyDescent="0.35">
      <c r="B16" s="44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</row>
    <row r="17" spans="2:14" x14ac:dyDescent="0.35">
      <c r="B17" s="44" t="s">
        <v>137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</row>
    <row r="18" spans="2:14" x14ac:dyDescent="0.35">
      <c r="B18" t="s">
        <v>138</v>
      </c>
      <c r="C18" s="66">
        <v>1564</v>
      </c>
      <c r="D18" s="66">
        <v>1622</v>
      </c>
      <c r="E18" s="66">
        <v>1095</v>
      </c>
      <c r="F18" s="66">
        <v>1229</v>
      </c>
      <c r="G18" s="66">
        <v>1307</v>
      </c>
      <c r="H18" s="66">
        <v>1950</v>
      </c>
      <c r="I18" s="66">
        <v>2035</v>
      </c>
      <c r="J18" s="66">
        <v>2066</v>
      </c>
      <c r="K18" s="66">
        <v>2054</v>
      </c>
      <c r="L18" s="66">
        <v>2037</v>
      </c>
      <c r="M18" s="66">
        <v>2079</v>
      </c>
      <c r="N18" s="66">
        <v>1990</v>
      </c>
    </row>
    <row r="19" spans="2:14" x14ac:dyDescent="0.35">
      <c r="B19" t="s">
        <v>139</v>
      </c>
      <c r="C19" s="66">
        <v>6102</v>
      </c>
      <c r="D19" s="66">
        <v>6325</v>
      </c>
      <c r="E19" s="66">
        <v>8419</v>
      </c>
      <c r="F19" s="66">
        <v>9334</v>
      </c>
      <c r="G19" s="66">
        <v>10270</v>
      </c>
      <c r="H19" s="66">
        <v>15104</v>
      </c>
      <c r="I19" s="66">
        <v>16394</v>
      </c>
      <c r="J19" s="66">
        <v>16760</v>
      </c>
      <c r="K19" s="66">
        <v>16903</v>
      </c>
      <c r="L19" s="66">
        <v>16515</v>
      </c>
      <c r="M19" s="66">
        <v>16376</v>
      </c>
      <c r="N19" s="66">
        <v>17193</v>
      </c>
    </row>
    <row r="20" spans="2:14" x14ac:dyDescent="0.35">
      <c r="B20" t="s">
        <v>140</v>
      </c>
      <c r="C20" s="66">
        <v>1427</v>
      </c>
      <c r="D20" s="66">
        <v>1759</v>
      </c>
      <c r="E20" s="66">
        <v>2048</v>
      </c>
      <c r="F20" s="66">
        <v>2306</v>
      </c>
      <c r="G20" s="66">
        <v>2709</v>
      </c>
      <c r="H20" s="66">
        <v>3185</v>
      </c>
      <c r="I20" s="66">
        <v>3296</v>
      </c>
      <c r="J20" s="66">
        <v>3210</v>
      </c>
      <c r="K20" s="66">
        <v>3302</v>
      </c>
      <c r="L20" s="66">
        <v>3428</v>
      </c>
      <c r="M20" s="66">
        <v>3461</v>
      </c>
      <c r="N20" s="66">
        <v>3714</v>
      </c>
    </row>
    <row r="21" spans="2:14" x14ac:dyDescent="0.35">
      <c r="B21" t="s">
        <v>141</v>
      </c>
      <c r="C21" s="66">
        <v>676</v>
      </c>
      <c r="D21" s="66">
        <v>839</v>
      </c>
      <c r="E21" s="66">
        <v>922</v>
      </c>
      <c r="F21" s="66">
        <v>1002</v>
      </c>
      <c r="G21" s="66">
        <v>1101</v>
      </c>
      <c r="H21" s="66">
        <v>1265</v>
      </c>
      <c r="I21" s="66">
        <v>1371</v>
      </c>
      <c r="J21" s="66">
        <v>1427</v>
      </c>
      <c r="K21" s="66">
        <v>1482</v>
      </c>
      <c r="L21" s="66">
        <v>1528</v>
      </c>
      <c r="M21" s="66">
        <v>1628</v>
      </c>
      <c r="N21" s="66">
        <v>1732</v>
      </c>
    </row>
    <row r="22" spans="2:14" x14ac:dyDescent="0.35">
      <c r="B22" t="s">
        <v>142</v>
      </c>
      <c r="C22" s="66">
        <v>3347</v>
      </c>
      <c r="D22" s="66">
        <v>4486</v>
      </c>
      <c r="E22" s="66">
        <v>4945</v>
      </c>
      <c r="F22" s="66">
        <v>4903</v>
      </c>
      <c r="G22" s="66">
        <v>6287</v>
      </c>
      <c r="H22" s="66">
        <v>7423</v>
      </c>
      <c r="I22" s="66">
        <v>8732</v>
      </c>
      <c r="J22" s="66">
        <v>9936</v>
      </c>
      <c r="K22" s="66">
        <v>11898</v>
      </c>
      <c r="L22" s="66">
        <v>12353</v>
      </c>
      <c r="M22" s="66">
        <v>12925</v>
      </c>
      <c r="N22" s="66">
        <v>13600</v>
      </c>
    </row>
    <row r="23" spans="2:14" x14ac:dyDescent="0.35">
      <c r="B23" t="s">
        <v>143</v>
      </c>
      <c r="C23" s="66">
        <v>958</v>
      </c>
      <c r="D23" s="66">
        <v>1444</v>
      </c>
      <c r="E23" s="66">
        <v>1277</v>
      </c>
      <c r="F23" s="66">
        <v>1393</v>
      </c>
      <c r="G23" s="66">
        <v>1620</v>
      </c>
      <c r="H23" s="66">
        <v>2073</v>
      </c>
      <c r="I23" s="66">
        <v>2149</v>
      </c>
      <c r="J23" s="66">
        <v>2278</v>
      </c>
      <c r="K23" s="66">
        <v>2303</v>
      </c>
      <c r="L23" s="66">
        <v>2326</v>
      </c>
      <c r="M23" s="66">
        <v>2340</v>
      </c>
      <c r="N23" s="66">
        <v>2438</v>
      </c>
    </row>
    <row r="24" spans="2:14" x14ac:dyDescent="0.35">
      <c r="B24" t="s">
        <v>144</v>
      </c>
      <c r="C24" s="66">
        <v>34</v>
      </c>
      <c r="D24" s="66">
        <v>29</v>
      </c>
      <c r="E24" s="66">
        <v>31</v>
      </c>
      <c r="F24" s="66">
        <v>31</v>
      </c>
      <c r="G24" s="66">
        <v>38</v>
      </c>
      <c r="H24" s="66">
        <v>69</v>
      </c>
      <c r="I24" s="66">
        <v>73</v>
      </c>
      <c r="J24" s="66">
        <v>71</v>
      </c>
      <c r="K24" s="66">
        <v>60</v>
      </c>
      <c r="L24" s="66">
        <v>62</v>
      </c>
      <c r="M24" s="66">
        <v>72</v>
      </c>
      <c r="N24" s="66">
        <v>70</v>
      </c>
    </row>
    <row r="25" spans="2:14" x14ac:dyDescent="0.35">
      <c r="B25" t="s">
        <v>145</v>
      </c>
      <c r="C25" s="66">
        <v>3637</v>
      </c>
      <c r="D25" s="66">
        <v>3858</v>
      </c>
      <c r="E25" s="66">
        <v>3743</v>
      </c>
      <c r="F25" s="66">
        <v>2237</v>
      </c>
      <c r="G25" s="66">
        <v>3640</v>
      </c>
      <c r="H25" s="66">
        <v>5528</v>
      </c>
      <c r="I25" s="66">
        <v>6373</v>
      </c>
      <c r="J25" s="66">
        <v>6495</v>
      </c>
      <c r="K25" s="66">
        <v>7594</v>
      </c>
      <c r="L25" s="66">
        <v>7652</v>
      </c>
      <c r="M25" s="66">
        <v>10626</v>
      </c>
      <c r="N25" s="66">
        <v>12729</v>
      </c>
    </row>
    <row r="26" spans="2:14" x14ac:dyDescent="0.35">
      <c r="B26" t="s">
        <v>146</v>
      </c>
      <c r="C26" s="66">
        <v>71</v>
      </c>
      <c r="D26" s="66">
        <v>931</v>
      </c>
      <c r="E26" s="66">
        <v>899</v>
      </c>
      <c r="F26" s="66">
        <v>545</v>
      </c>
      <c r="G26" s="66">
        <v>1093</v>
      </c>
      <c r="H26" s="66">
        <v>2289</v>
      </c>
      <c r="I26" s="66">
        <v>2730</v>
      </c>
      <c r="J26" s="66">
        <v>2766</v>
      </c>
      <c r="K26" s="66">
        <v>3281</v>
      </c>
      <c r="L26" s="66">
        <v>3294</v>
      </c>
      <c r="M26" s="66">
        <v>5184</v>
      </c>
      <c r="N26" s="66">
        <v>6296</v>
      </c>
    </row>
    <row r="27" spans="2:14" x14ac:dyDescent="0.35">
      <c r="B27" s="44" t="s">
        <v>147</v>
      </c>
      <c r="C27" s="66">
        <v>17816</v>
      </c>
      <c r="D27" s="66">
        <v>21293</v>
      </c>
      <c r="E27" s="66">
        <v>23379</v>
      </c>
      <c r="F27" s="66">
        <v>22980</v>
      </c>
      <c r="G27" s="66">
        <v>28065</v>
      </c>
      <c r="H27" s="66">
        <v>38886</v>
      </c>
      <c r="I27" s="66">
        <v>43153</v>
      </c>
      <c r="J27" s="66">
        <v>45009</v>
      </c>
      <c r="K27" s="66">
        <v>48877</v>
      </c>
      <c r="L27" s="66">
        <v>49195</v>
      </c>
      <c r="M27" s="66">
        <v>54691</v>
      </c>
      <c r="N27" s="66">
        <v>59762</v>
      </c>
    </row>
    <row r="28" spans="2:14" x14ac:dyDescent="0.35">
      <c r="B28" s="44" t="s">
        <v>148</v>
      </c>
      <c r="C28" s="66">
        <v>6470</v>
      </c>
      <c r="D28" s="66">
        <v>7907</v>
      </c>
      <c r="E28" s="66">
        <v>9200</v>
      </c>
      <c r="F28" s="66">
        <v>10406</v>
      </c>
      <c r="G28" s="66">
        <v>12355</v>
      </c>
      <c r="H28" s="66">
        <v>15097</v>
      </c>
      <c r="I28" s="66">
        <v>17648</v>
      </c>
      <c r="J28" s="66">
        <v>19209</v>
      </c>
      <c r="K28" s="66">
        <v>19652</v>
      </c>
      <c r="L28" s="66">
        <v>21573</v>
      </c>
      <c r="M28" s="66">
        <v>23730</v>
      </c>
      <c r="N28" s="66">
        <v>25992</v>
      </c>
    </row>
    <row r="29" spans="2:14" x14ac:dyDescent="0.35">
      <c r="B29" s="44" t="s">
        <v>157</v>
      </c>
      <c r="C29" s="67">
        <f>C27-C28</f>
        <v>11346</v>
      </c>
      <c r="D29" s="67">
        <f t="shared" ref="D29:N29" si="0">D27-D28</f>
        <v>13386</v>
      </c>
      <c r="E29" s="67">
        <f t="shared" si="0"/>
        <v>14179</v>
      </c>
      <c r="F29" s="67">
        <f t="shared" si="0"/>
        <v>12574</v>
      </c>
      <c r="G29" s="67">
        <f t="shared" si="0"/>
        <v>15710</v>
      </c>
      <c r="H29" s="67">
        <f t="shared" si="0"/>
        <v>23789</v>
      </c>
      <c r="I29" s="67">
        <f t="shared" si="0"/>
        <v>25505</v>
      </c>
      <c r="J29" s="67">
        <f t="shared" si="0"/>
        <v>25800</v>
      </c>
      <c r="K29" s="67">
        <f t="shared" si="0"/>
        <v>29225</v>
      </c>
      <c r="L29" s="67">
        <f t="shared" si="0"/>
        <v>27622</v>
      </c>
      <c r="M29" s="67">
        <f t="shared" si="0"/>
        <v>30961</v>
      </c>
      <c r="N29" s="67">
        <f t="shared" si="0"/>
        <v>33770</v>
      </c>
    </row>
    <row r="30" spans="2:14" x14ac:dyDescent="0.35">
      <c r="B30" s="44" t="s">
        <v>149</v>
      </c>
      <c r="C30" s="66">
        <v>776</v>
      </c>
      <c r="D30" s="66">
        <v>960</v>
      </c>
      <c r="E30" s="66">
        <v>1365</v>
      </c>
      <c r="F30" s="66">
        <v>1606</v>
      </c>
      <c r="G30" s="66">
        <v>1388</v>
      </c>
      <c r="H30" s="66">
        <v>954</v>
      </c>
      <c r="I30" s="66">
        <v>922</v>
      </c>
      <c r="J30" s="66">
        <v>416</v>
      </c>
      <c r="K30" s="66">
        <v>288</v>
      </c>
      <c r="L30" s="66">
        <v>293</v>
      </c>
      <c r="M30" s="66">
        <v>814</v>
      </c>
      <c r="N30" s="66">
        <v>526</v>
      </c>
    </row>
    <row r="31" spans="2:14" x14ac:dyDescent="0.35">
      <c r="B31" s="44" t="s">
        <v>91</v>
      </c>
      <c r="C31" s="66">
        <v>2270</v>
      </c>
      <c r="D31" s="66">
        <v>1892</v>
      </c>
      <c r="E31" s="66">
        <v>16423</v>
      </c>
      <c r="F31" s="66">
        <v>12163</v>
      </c>
      <c r="G31" s="66">
        <v>11261</v>
      </c>
      <c r="H31" s="66">
        <v>8792</v>
      </c>
      <c r="I31" s="66">
        <v>14205</v>
      </c>
      <c r="J31" s="66">
        <v>20324</v>
      </c>
      <c r="K31" s="66">
        <v>19478</v>
      </c>
      <c r="L31" s="66">
        <v>24623</v>
      </c>
      <c r="M31" s="66">
        <v>23541</v>
      </c>
      <c r="N31" s="66">
        <v>21880</v>
      </c>
    </row>
    <row r="32" spans="2:14" x14ac:dyDescent="0.35">
      <c r="B32" t="s">
        <v>150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</row>
    <row r="33" spans="2:14" x14ac:dyDescent="0.35">
      <c r="B33" t="s">
        <v>151</v>
      </c>
      <c r="C33" s="66">
        <v>9713</v>
      </c>
      <c r="D33" s="66">
        <v>11330</v>
      </c>
      <c r="E33" s="66">
        <v>12322</v>
      </c>
      <c r="F33" s="66">
        <v>13142</v>
      </c>
      <c r="G33" s="66">
        <v>14827</v>
      </c>
      <c r="H33" s="66">
        <v>18487</v>
      </c>
      <c r="I33" s="66">
        <v>19294</v>
      </c>
      <c r="J33" s="66">
        <v>22698</v>
      </c>
      <c r="K33" s="66">
        <v>25424</v>
      </c>
      <c r="L33" s="66">
        <v>30193</v>
      </c>
      <c r="M33" s="66">
        <v>31158</v>
      </c>
      <c r="N33" s="66">
        <v>35234</v>
      </c>
    </row>
    <row r="34" spans="2:14" x14ac:dyDescent="0.35">
      <c r="B34" t="s">
        <v>152</v>
      </c>
      <c r="C34" s="66">
        <v>30367</v>
      </c>
      <c r="D34" s="66">
        <v>32697</v>
      </c>
      <c r="E34" s="66">
        <v>22625</v>
      </c>
      <c r="F34" s="66">
        <v>19818</v>
      </c>
      <c r="G34" s="66">
        <v>19568</v>
      </c>
      <c r="H34" s="66">
        <v>18649</v>
      </c>
      <c r="I34" s="66">
        <v>24714</v>
      </c>
      <c r="J34" s="66">
        <v>17472</v>
      </c>
      <c r="K34" s="66">
        <v>12173</v>
      </c>
      <c r="L34" s="66">
        <v>14786</v>
      </c>
      <c r="M34" s="66">
        <v>24455</v>
      </c>
      <c r="N34" s="66">
        <v>22201</v>
      </c>
    </row>
    <row r="35" spans="2:14" x14ac:dyDescent="0.35">
      <c r="B35" t="s">
        <v>153</v>
      </c>
      <c r="C35" s="66">
        <v>399</v>
      </c>
      <c r="D35" s="66">
        <v>614</v>
      </c>
      <c r="E35" s="66">
        <v>844</v>
      </c>
      <c r="F35" s="66">
        <v>830</v>
      </c>
      <c r="G35" s="66">
        <v>1524</v>
      </c>
      <c r="H35" s="66">
        <v>1359</v>
      </c>
      <c r="I35" s="66">
        <v>1460</v>
      </c>
      <c r="J35" s="66">
        <v>2491</v>
      </c>
      <c r="K35" s="66">
        <v>3242</v>
      </c>
      <c r="L35" s="66">
        <v>10330</v>
      </c>
      <c r="M35" s="66">
        <v>6717</v>
      </c>
      <c r="N35" s="66">
        <v>6808</v>
      </c>
    </row>
    <row r="36" spans="2:14" x14ac:dyDescent="0.35">
      <c r="B36" t="s">
        <v>154</v>
      </c>
      <c r="C36" s="66">
        <v>11418</v>
      </c>
      <c r="D36" s="66">
        <v>14219</v>
      </c>
      <c r="E36" s="66">
        <v>15390</v>
      </c>
      <c r="F36" s="66">
        <v>19216</v>
      </c>
      <c r="G36" s="66">
        <v>19788</v>
      </c>
      <c r="H36" s="66">
        <v>19770</v>
      </c>
      <c r="I36" s="66">
        <v>21411</v>
      </c>
      <c r="J36" s="66">
        <v>27528</v>
      </c>
      <c r="K36" s="66">
        <v>34766</v>
      </c>
      <c r="L36" s="66">
        <v>28173</v>
      </c>
      <c r="M36" s="66">
        <v>30149</v>
      </c>
      <c r="N36" s="66">
        <v>33869</v>
      </c>
    </row>
    <row r="37" spans="2:14" x14ac:dyDescent="0.35">
      <c r="B37" s="44" t="s">
        <v>155</v>
      </c>
      <c r="C37" s="67">
        <v>66289</v>
      </c>
      <c r="D37" s="67">
        <v>75098</v>
      </c>
      <c r="E37" s="67">
        <v>83148</v>
      </c>
      <c r="F37" s="67">
        <v>79349</v>
      </c>
      <c r="G37" s="67">
        <v>84066</v>
      </c>
      <c r="H37" s="67">
        <v>91800</v>
      </c>
      <c r="I37" s="67">
        <v>107511</v>
      </c>
      <c r="J37" s="67">
        <v>116729</v>
      </c>
      <c r="K37" s="67">
        <v>124596</v>
      </c>
      <c r="L37" s="67">
        <v>136020</v>
      </c>
      <c r="M37" s="67">
        <v>147795</v>
      </c>
      <c r="N37" s="67">
        <v>154288</v>
      </c>
    </row>
    <row r="40" spans="2:14" x14ac:dyDescent="0.35"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</row>
    <row r="41" spans="2:14" x14ac:dyDescent="0.35">
      <c r="B41" t="s">
        <v>171</v>
      </c>
      <c r="C41" s="59">
        <v>8353</v>
      </c>
      <c r="D41" s="59">
        <v>10028</v>
      </c>
      <c r="E41" s="59">
        <v>11531</v>
      </c>
      <c r="F41" s="59">
        <v>13218</v>
      </c>
      <c r="G41" s="59">
        <v>14841</v>
      </c>
      <c r="H41" s="59">
        <v>17003</v>
      </c>
      <c r="I41" s="59">
        <v>23224</v>
      </c>
      <c r="J41" s="59">
        <v>23885</v>
      </c>
      <c r="K41" s="59">
        <v>22467</v>
      </c>
      <c r="L41" s="59">
        <v>25210</v>
      </c>
      <c r="M41" s="59">
        <v>35694</v>
      </c>
      <c r="N41" s="59">
        <v>33986</v>
      </c>
    </row>
    <row r="42" spans="2:14" x14ac:dyDescent="0.35">
      <c r="B42" t="s">
        <v>81</v>
      </c>
      <c r="C42" s="59">
        <v>15946</v>
      </c>
      <c r="D42" s="59">
        <v>17839</v>
      </c>
      <c r="E42" s="59">
        <v>19340</v>
      </c>
      <c r="F42" s="59">
        <v>19963</v>
      </c>
      <c r="G42" s="59">
        <v>22126</v>
      </c>
      <c r="H42" s="59">
        <v>23920</v>
      </c>
      <c r="I42" s="59">
        <v>28845</v>
      </c>
      <c r="J42" s="59">
        <v>32921</v>
      </c>
      <c r="K42" s="59">
        <v>37605</v>
      </c>
      <c r="L42" s="59">
        <v>39523</v>
      </c>
      <c r="M42" s="59">
        <v>41591</v>
      </c>
      <c r="N42" s="59">
        <v>45273</v>
      </c>
    </row>
    <row r="43" spans="2:14" x14ac:dyDescent="0.35">
      <c r="B43" t="s">
        <v>80</v>
      </c>
      <c r="C43" s="59">
        <v>-1475</v>
      </c>
      <c r="D43" s="59">
        <v>-1654</v>
      </c>
      <c r="E43" s="59">
        <v>-1743</v>
      </c>
      <c r="F43" s="59">
        <v>-1523</v>
      </c>
      <c r="G43" s="59">
        <v>-2881</v>
      </c>
      <c r="H43" s="59">
        <v>-3861</v>
      </c>
      <c r="I43" s="59">
        <v>-1835</v>
      </c>
      <c r="J43" s="59">
        <v>-7937</v>
      </c>
      <c r="K43" s="59">
        <v>-7076</v>
      </c>
      <c r="L43" s="59">
        <v>-2667</v>
      </c>
      <c r="M43" s="59">
        <v>-1769</v>
      </c>
      <c r="N43" s="59">
        <v>-5177</v>
      </c>
    </row>
    <row r="44" spans="2:14" x14ac:dyDescent="0.35">
      <c r="B44" t="s">
        <v>78</v>
      </c>
      <c r="C44">
        <v>0</v>
      </c>
      <c r="D44">
        <v>242</v>
      </c>
      <c r="E44">
        <v>-19</v>
      </c>
      <c r="F44">
        <v>328</v>
      </c>
      <c r="G44">
        <v>916</v>
      </c>
      <c r="H44">
        <v>-373</v>
      </c>
      <c r="I44">
        <v>-245</v>
      </c>
      <c r="J44" s="59">
        <v>1489</v>
      </c>
      <c r="K44">
        <v>-279</v>
      </c>
      <c r="L44">
        <v>91</v>
      </c>
      <c r="M44">
        <v>176</v>
      </c>
      <c r="N44">
        <v>-26</v>
      </c>
    </row>
    <row r="45" spans="2:14" x14ac:dyDescent="0.35">
      <c r="B45" t="s">
        <v>172</v>
      </c>
      <c r="C45">
        <v>-221</v>
      </c>
      <c r="D45" s="59">
        <v>-1134</v>
      </c>
      <c r="E45">
        <v>0</v>
      </c>
      <c r="F45">
        <v>0</v>
      </c>
      <c r="G45">
        <v>0</v>
      </c>
      <c r="H45">
        <v>0</v>
      </c>
      <c r="I45">
        <v>-534</v>
      </c>
      <c r="J45" s="59">
        <v>-1914</v>
      </c>
      <c r="K45" s="59">
        <v>-3108</v>
      </c>
      <c r="L45" s="59">
        <v>-1172</v>
      </c>
      <c r="M45" s="59">
        <v>-1024</v>
      </c>
      <c r="N45" s="59">
        <v>-2645</v>
      </c>
    </row>
    <row r="46" spans="2:14" x14ac:dyDescent="0.35">
      <c r="B46" t="s">
        <v>77</v>
      </c>
      <c r="C46">
        <v>854</v>
      </c>
      <c r="D46">
        <v>600</v>
      </c>
      <c r="E46">
        <v>-394</v>
      </c>
      <c r="F46" s="59">
        <v>1279</v>
      </c>
      <c r="G46" s="59">
        <v>1512</v>
      </c>
      <c r="H46" s="59">
        <v>1867</v>
      </c>
      <c r="I46" s="59">
        <v>3382</v>
      </c>
      <c r="J46" s="59">
        <v>6938</v>
      </c>
      <c r="K46" s="59">
        <v>4119</v>
      </c>
      <c r="L46" s="59">
        <v>-1334</v>
      </c>
      <c r="M46" s="59">
        <v>2322</v>
      </c>
      <c r="N46" s="59">
        <v>5209</v>
      </c>
    </row>
    <row r="47" spans="2:14" x14ac:dyDescent="0.35">
      <c r="B47" t="s">
        <v>76</v>
      </c>
      <c r="C47">
        <v>-842</v>
      </c>
      <c r="D47" s="59">
        <v>-1946</v>
      </c>
      <c r="E47" s="59">
        <v>-2156</v>
      </c>
      <c r="F47">
        <v>84</v>
      </c>
      <c r="G47">
        <v>-453</v>
      </c>
      <c r="H47" s="59">
        <v>-2367</v>
      </c>
      <c r="I47">
        <v>768</v>
      </c>
      <c r="J47" s="59">
        <v>-1424</v>
      </c>
      <c r="K47" s="59">
        <v>-6344</v>
      </c>
      <c r="L47" s="59">
        <v>-5082</v>
      </c>
      <c r="M47">
        <v>-295</v>
      </c>
      <c r="N47" s="59">
        <v>-2639</v>
      </c>
    </row>
    <row r="48" spans="2:14" x14ac:dyDescent="0.35">
      <c r="B48" t="s">
        <v>75</v>
      </c>
      <c r="C48" s="59">
        <v>-6751</v>
      </c>
      <c r="D48" s="59">
        <v>-5865</v>
      </c>
      <c r="E48" s="59">
        <v>-5653</v>
      </c>
      <c r="F48" s="59">
        <v>-6829</v>
      </c>
      <c r="G48" s="59">
        <v>-6832</v>
      </c>
      <c r="H48" s="59">
        <v>-4550</v>
      </c>
      <c r="I48" s="59">
        <v>-6389</v>
      </c>
      <c r="J48" s="59">
        <v>-7612</v>
      </c>
      <c r="K48" s="59">
        <v>-8794</v>
      </c>
      <c r="L48" s="59">
        <v>-9231</v>
      </c>
      <c r="M48" s="59">
        <v>-5602</v>
      </c>
      <c r="N48" s="59">
        <v>-8648</v>
      </c>
    </row>
    <row r="49" spans="2:14" x14ac:dyDescent="0.35">
      <c r="B49" t="s">
        <v>173</v>
      </c>
      <c r="C49">
        <v>999</v>
      </c>
      <c r="D49">
        <v>-885</v>
      </c>
      <c r="E49" s="59">
        <v>-14664</v>
      </c>
      <c r="F49" s="59">
        <v>4533</v>
      </c>
      <c r="G49">
        <v>-632</v>
      </c>
      <c r="H49">
        <v>-331</v>
      </c>
      <c r="I49" s="59">
        <v>-7373</v>
      </c>
      <c r="J49" s="59">
        <v>-6485</v>
      </c>
      <c r="K49" s="59">
        <v>-1071</v>
      </c>
      <c r="L49" s="59">
        <v>-5093</v>
      </c>
      <c r="M49" s="59">
        <v>-1864</v>
      </c>
      <c r="N49" s="59">
        <v>3546</v>
      </c>
    </row>
    <row r="50" spans="2:14" x14ac:dyDescent="0.35">
      <c r="B50" t="s">
        <v>72</v>
      </c>
      <c r="C50" s="59">
        <v>-2247</v>
      </c>
      <c r="D50" s="59">
        <v>-2723</v>
      </c>
      <c r="E50" s="59">
        <v>-2760</v>
      </c>
      <c r="F50" s="59">
        <v>-1998</v>
      </c>
      <c r="G50" s="59">
        <v>-2445</v>
      </c>
      <c r="H50" s="59">
        <v>-3307</v>
      </c>
      <c r="I50" s="59">
        <v>-2107</v>
      </c>
      <c r="J50" s="59">
        <v>-2161</v>
      </c>
      <c r="K50" s="59">
        <v>-2579</v>
      </c>
      <c r="L50" s="59">
        <v>-2201</v>
      </c>
      <c r="M50" s="59">
        <v>-2237</v>
      </c>
      <c r="N50" s="59">
        <v>-2727</v>
      </c>
    </row>
    <row r="51" spans="2:14" x14ac:dyDescent="0.35">
      <c r="B51" t="s">
        <v>71</v>
      </c>
      <c r="C51" s="59">
        <v>-23923</v>
      </c>
      <c r="D51" s="59">
        <v>-24577</v>
      </c>
      <c r="E51" s="59">
        <v>-66410</v>
      </c>
      <c r="F51" s="59">
        <v>-69159</v>
      </c>
      <c r="G51" s="59">
        <v>-79410</v>
      </c>
      <c r="H51" s="59">
        <v>-37482</v>
      </c>
      <c r="I51" s="59">
        <v>-46738</v>
      </c>
      <c r="J51" s="59">
        <v>-59951</v>
      </c>
      <c r="K51" s="59">
        <v>-75800</v>
      </c>
      <c r="L51" s="59">
        <v>-78092</v>
      </c>
      <c r="M51" s="59">
        <v>-82742</v>
      </c>
      <c r="N51" s="59">
        <v>-82617</v>
      </c>
    </row>
    <row r="52" spans="2:14" x14ac:dyDescent="0.35">
      <c r="B52" t="s">
        <v>70</v>
      </c>
      <c r="C52" s="59">
        <v>25253</v>
      </c>
      <c r="D52" s="59">
        <v>24980</v>
      </c>
      <c r="E52" s="59">
        <v>52048</v>
      </c>
      <c r="F52" s="59">
        <v>74003</v>
      </c>
      <c r="G52" s="59">
        <v>78098</v>
      </c>
      <c r="H52" s="59">
        <v>38861</v>
      </c>
      <c r="I52" s="59">
        <v>40381</v>
      </c>
      <c r="J52" s="59">
        <v>57356</v>
      </c>
      <c r="K52" s="59">
        <v>76722</v>
      </c>
      <c r="L52" s="59">
        <v>72930</v>
      </c>
      <c r="M52" s="59">
        <v>84877</v>
      </c>
      <c r="N52" s="59">
        <v>89699</v>
      </c>
    </row>
    <row r="53" spans="2:14" x14ac:dyDescent="0.35">
      <c r="B53" t="s">
        <v>69</v>
      </c>
      <c r="C53" s="59">
        <v>2551</v>
      </c>
      <c r="D53" s="59">
        <v>2383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2:14" x14ac:dyDescent="0.35">
      <c r="B54" t="s">
        <v>68</v>
      </c>
      <c r="C54">
        <v>0</v>
      </c>
      <c r="D54">
        <v>0</v>
      </c>
      <c r="E54" s="59">
        <v>2753</v>
      </c>
      <c r="F54" s="59">
        <v>1768</v>
      </c>
      <c r="G54" s="59">
        <v>1557</v>
      </c>
      <c r="H54" s="59">
        <v>1929</v>
      </c>
      <c r="I54" s="59">
        <v>1418</v>
      </c>
      <c r="J54" s="59">
        <v>1898</v>
      </c>
      <c r="K54" s="59">
        <v>1525</v>
      </c>
      <c r="L54" s="59">
        <v>1768</v>
      </c>
      <c r="M54" s="59">
        <v>2040</v>
      </c>
      <c r="N54" s="59">
        <v>2713</v>
      </c>
    </row>
    <row r="55" spans="2:14" x14ac:dyDescent="0.35">
      <c r="B55" t="s">
        <v>67</v>
      </c>
      <c r="C55" s="59">
        <v>-1376</v>
      </c>
      <c r="D55">
        <v>-747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2:14" x14ac:dyDescent="0.35">
      <c r="B56" t="s">
        <v>174</v>
      </c>
      <c r="C56">
        <v>0</v>
      </c>
      <c r="D56">
        <v>-142</v>
      </c>
      <c r="E56">
        <v>-164</v>
      </c>
      <c r="F56">
        <v>-130</v>
      </c>
      <c r="G56">
        <v>-24</v>
      </c>
      <c r="H56">
        <v>-108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2:14" x14ac:dyDescent="0.35">
      <c r="B57" t="s">
        <v>65</v>
      </c>
      <c r="C57">
        <v>741</v>
      </c>
      <c r="D57">
        <v>-59</v>
      </c>
      <c r="E57">
        <v>-131</v>
      </c>
      <c r="F57">
        <v>49</v>
      </c>
      <c r="G57" s="59">
        <v>1592</v>
      </c>
      <c r="H57">
        <v>-224</v>
      </c>
      <c r="I57">
        <v>-327</v>
      </c>
      <c r="J57" s="59">
        <v>-3627</v>
      </c>
      <c r="K57">
        <v>-939</v>
      </c>
      <c r="L57">
        <v>502</v>
      </c>
      <c r="M57" s="59">
        <v>-3802</v>
      </c>
      <c r="N57" s="59">
        <v>-3522</v>
      </c>
    </row>
    <row r="58" spans="2:14" x14ac:dyDescent="0.35">
      <c r="B58" t="s">
        <v>175</v>
      </c>
      <c r="C58" s="59">
        <v>-4935</v>
      </c>
      <c r="D58" s="59">
        <v>-6813</v>
      </c>
      <c r="E58" s="59">
        <v>-6939</v>
      </c>
      <c r="F58" s="59">
        <v>-20505</v>
      </c>
      <c r="G58" s="59">
        <v>-14512</v>
      </c>
      <c r="H58" s="59">
        <v>-17591</v>
      </c>
      <c r="I58" s="59">
        <v>-9786</v>
      </c>
      <c r="J58" s="59">
        <v>-24642</v>
      </c>
      <c r="K58" s="59">
        <v>-26695</v>
      </c>
      <c r="L58" s="59">
        <v>-17504</v>
      </c>
      <c r="M58" s="59">
        <v>-24161</v>
      </c>
      <c r="N58" s="59">
        <v>-39786</v>
      </c>
    </row>
    <row r="59" spans="2:14" x14ac:dyDescent="0.35">
      <c r="B59" t="s">
        <v>62</v>
      </c>
      <c r="C59">
        <v>0</v>
      </c>
      <c r="D59">
        <v>0</v>
      </c>
      <c r="E59">
        <v>0</v>
      </c>
      <c r="F59">
        <v>5</v>
      </c>
      <c r="G59">
        <v>6</v>
      </c>
      <c r="H59">
        <v>6</v>
      </c>
      <c r="I59">
        <v>15</v>
      </c>
      <c r="J59">
        <v>21</v>
      </c>
      <c r="K59">
        <v>35</v>
      </c>
      <c r="L59">
        <v>5</v>
      </c>
      <c r="M59">
        <v>6</v>
      </c>
      <c r="N59">
        <v>2</v>
      </c>
    </row>
    <row r="60" spans="2:14" x14ac:dyDescent="0.35">
      <c r="B60" t="s">
        <v>61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-985</v>
      </c>
      <c r="N60">
        <v>0</v>
      </c>
    </row>
    <row r="61" spans="2:14" x14ac:dyDescent="0.35">
      <c r="B61" t="s">
        <v>60</v>
      </c>
      <c r="C61" s="59">
        <v>-4935</v>
      </c>
      <c r="D61" s="59">
        <v>-6813</v>
      </c>
      <c r="E61" s="59">
        <v>-6939</v>
      </c>
      <c r="F61" s="59">
        <v>-7464</v>
      </c>
      <c r="G61" s="59">
        <v>-13705</v>
      </c>
      <c r="H61" s="59">
        <v>-9548</v>
      </c>
      <c r="I61" s="59">
        <v>-9137</v>
      </c>
      <c r="J61" s="59">
        <v>-12731</v>
      </c>
      <c r="K61" s="59">
        <v>-13653</v>
      </c>
      <c r="L61" s="59">
        <v>-14731</v>
      </c>
      <c r="M61" s="59">
        <v>-20289</v>
      </c>
      <c r="N61" s="59">
        <v>-18656</v>
      </c>
    </row>
    <row r="62" spans="2:14" x14ac:dyDescent="0.35">
      <c r="B62" t="s">
        <v>59</v>
      </c>
      <c r="C62">
        <v>0</v>
      </c>
      <c r="D62">
        <v>0</v>
      </c>
      <c r="E62">
        <v>0</v>
      </c>
      <c r="F62">
        <v>0</v>
      </c>
      <c r="G62">
        <v>0</v>
      </c>
      <c r="H62">
        <v>-571</v>
      </c>
      <c r="I62">
        <v>-698</v>
      </c>
      <c r="J62">
        <v>-915</v>
      </c>
      <c r="K62" s="59">
        <v>-1231</v>
      </c>
      <c r="L62" s="59">
        <v>-2024</v>
      </c>
      <c r="M62" s="59">
        <v>-2355</v>
      </c>
      <c r="N62" s="59">
        <v>-2824</v>
      </c>
    </row>
    <row r="63" spans="2:14" x14ac:dyDescent="0.35">
      <c r="B63" t="s">
        <v>58</v>
      </c>
      <c r="C63">
        <v>0</v>
      </c>
      <c r="D63">
        <v>0</v>
      </c>
      <c r="E63">
        <v>0</v>
      </c>
      <c r="F63" s="59">
        <v>-13046</v>
      </c>
      <c r="G63">
        <v>-813</v>
      </c>
      <c r="H63" s="59">
        <v>-7478</v>
      </c>
      <c r="I63">
        <v>34</v>
      </c>
      <c r="J63" s="59">
        <v>-11017</v>
      </c>
      <c r="K63" s="59">
        <v>-11846</v>
      </c>
      <c r="L63">
        <v>-754</v>
      </c>
      <c r="M63">
        <v>-538</v>
      </c>
      <c r="N63" s="59">
        <v>-18308</v>
      </c>
    </row>
    <row r="64" spans="2:14" x14ac:dyDescent="0.35">
      <c r="B64" t="s">
        <v>56</v>
      </c>
      <c r="C64" s="59">
        <v>4417</v>
      </c>
      <c r="D64" s="59">
        <v>2330</v>
      </c>
      <c r="E64" s="59">
        <v>-10072</v>
      </c>
      <c r="F64" s="59">
        <v>-2754</v>
      </c>
      <c r="G64">
        <v>-303</v>
      </c>
      <c r="H64">
        <v>-919</v>
      </c>
      <c r="I64" s="59">
        <v>6065</v>
      </c>
      <c r="J64" s="59">
        <v>-7242</v>
      </c>
      <c r="K64" s="59">
        <v>-5299</v>
      </c>
      <c r="L64" s="59">
        <v>2613</v>
      </c>
      <c r="M64" s="59">
        <v>9669</v>
      </c>
      <c r="N64" s="59">
        <v>-2254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E1CC-DE90-4B4E-ADFC-93E4C7DB33AD}">
  <dimension ref="A5:G64"/>
  <sheetViews>
    <sheetView showGridLines="0" workbookViewId="0">
      <pane ySplit="4" topLeftCell="A5" activePane="bottomLeft" state="frozen"/>
      <selection pane="bottomLeft" activeCell="H9" sqref="H9"/>
    </sheetView>
  </sheetViews>
  <sheetFormatPr defaultRowHeight="14.5" x14ac:dyDescent="0.35"/>
  <cols>
    <col min="1" max="1" width="1.81640625" customWidth="1"/>
    <col min="2" max="2" width="24.54296875" bestFit="1" customWidth="1"/>
    <col min="3" max="3" width="9.54296875" bestFit="1" customWidth="1"/>
    <col min="4" max="5" width="9.08984375" bestFit="1" customWidth="1"/>
    <col min="6" max="6" width="13.26953125" bestFit="1" customWidth="1"/>
    <col min="7" max="7" width="9.08984375" bestFit="1" customWidth="1"/>
  </cols>
  <sheetData>
    <row r="5" spans="2:7" x14ac:dyDescent="0.35">
      <c r="B5" s="61" t="s">
        <v>158</v>
      </c>
      <c r="C5" s="60">
        <f>'Raw FS'!J$4</f>
        <v>44621</v>
      </c>
      <c r="D5" s="60">
        <f>'Raw FS'!K$4</f>
        <v>44986</v>
      </c>
      <c r="E5" s="60">
        <f>'Raw FS'!L$4</f>
        <v>45352</v>
      </c>
      <c r="F5" s="60">
        <f>'Raw FS'!M$4</f>
        <v>45717</v>
      </c>
      <c r="G5" s="60">
        <f>'Raw FS'!N$4</f>
        <v>46082</v>
      </c>
    </row>
    <row r="7" spans="2:7" x14ac:dyDescent="0.35">
      <c r="B7" s="74" t="s">
        <v>159</v>
      </c>
      <c r="C7" s="75"/>
      <c r="D7" s="75"/>
      <c r="E7" s="75"/>
      <c r="F7" s="75"/>
      <c r="G7" s="75"/>
    </row>
    <row r="8" spans="2:7" x14ac:dyDescent="0.35">
      <c r="B8" s="71" t="str">
        <f>'Raw FS'!B33</f>
        <v>Trade receivables</v>
      </c>
      <c r="C8" s="71">
        <f>'Raw FS'!J33</f>
        <v>22698</v>
      </c>
      <c r="D8" s="71">
        <f>'Raw FS'!K33</f>
        <v>25424</v>
      </c>
      <c r="E8" s="71">
        <f>'Raw FS'!L33</f>
        <v>30193</v>
      </c>
      <c r="F8" s="71">
        <f>'Raw FS'!M33</f>
        <v>31158</v>
      </c>
      <c r="G8" s="71">
        <f>'Raw FS'!N33</f>
        <v>35234</v>
      </c>
    </row>
    <row r="9" spans="2:7" x14ac:dyDescent="0.35">
      <c r="B9" s="71" t="str" cm="1">
        <f t="array" ref="B9:B10">'Raw FS'!B35:B36</f>
        <v>Loans n Advances</v>
      </c>
      <c r="C9" s="71">
        <f>'Raw FS'!J35</f>
        <v>2491</v>
      </c>
      <c r="D9" s="71">
        <f>'Raw FS'!K35</f>
        <v>3242</v>
      </c>
      <c r="E9" s="71">
        <f>'Raw FS'!L35</f>
        <v>10330</v>
      </c>
      <c r="F9" s="71">
        <f>'Raw FS'!M35</f>
        <v>6717</v>
      </c>
      <c r="G9" s="71">
        <f>'Raw FS'!N35</f>
        <v>6808</v>
      </c>
    </row>
    <row r="10" spans="2:7" ht="15" thickBot="1" x14ac:dyDescent="0.4">
      <c r="B10" s="72" t="str">
        <v>Other asset items</v>
      </c>
      <c r="C10" s="72">
        <f>'Raw FS'!J36</f>
        <v>27528</v>
      </c>
      <c r="D10" s="72">
        <f>'Raw FS'!K36</f>
        <v>34766</v>
      </c>
      <c r="E10" s="72">
        <f>'Raw FS'!L36</f>
        <v>28173</v>
      </c>
      <c r="F10" s="72">
        <f>'Raw FS'!M36</f>
        <v>30149</v>
      </c>
      <c r="G10" s="72">
        <f>'Raw FS'!N36</f>
        <v>33869</v>
      </c>
    </row>
    <row r="11" spans="2:7" x14ac:dyDescent="0.35">
      <c r="B11" s="73" t="s">
        <v>160</v>
      </c>
      <c r="C11" s="73">
        <f>SUM(C8:C10)</f>
        <v>52717</v>
      </c>
      <c r="D11" s="73">
        <f t="shared" ref="D11:G11" si="0">SUM(D8:D10)</f>
        <v>63432</v>
      </c>
      <c r="E11" s="73">
        <f t="shared" si="0"/>
        <v>68696</v>
      </c>
      <c r="F11" s="73">
        <f t="shared" si="0"/>
        <v>68024</v>
      </c>
      <c r="G11" s="73">
        <f t="shared" si="0"/>
        <v>75911</v>
      </c>
    </row>
    <row r="13" spans="2:7" x14ac:dyDescent="0.35">
      <c r="B13" s="44" t="s">
        <v>161</v>
      </c>
    </row>
    <row r="14" spans="2:7" x14ac:dyDescent="0.35">
      <c r="B14" s="71" t="str" cm="1">
        <f t="array" ref="B14:B16">'Raw FS'!B12:B14</f>
        <v>Trade Payables</v>
      </c>
      <c r="C14" s="71">
        <f>'Raw FS'!J12</f>
        <v>4134</v>
      </c>
      <c r="D14" s="71">
        <f>'Raw FS'!K12</f>
        <v>3865</v>
      </c>
      <c r="E14" s="71">
        <f>'Raw FS'!L12</f>
        <v>3956</v>
      </c>
      <c r="F14" s="71">
        <f>'Raw FS'!M12</f>
        <v>4164</v>
      </c>
      <c r="G14" s="71">
        <f>'Raw FS'!N12</f>
        <v>4744</v>
      </c>
    </row>
    <row r="15" spans="2:7" x14ac:dyDescent="0.35">
      <c r="B15" s="71" t="str">
        <v>Advance from Customers</v>
      </c>
      <c r="C15" s="71">
        <f>'Raw FS'!J13</f>
        <v>0</v>
      </c>
      <c r="D15" s="71">
        <f>'Raw FS'!K13</f>
        <v>0</v>
      </c>
      <c r="E15" s="71">
        <f>'Raw FS'!L13</f>
        <v>0</v>
      </c>
      <c r="F15" s="71">
        <f>'Raw FS'!M13</f>
        <v>0</v>
      </c>
      <c r="G15" s="71">
        <f>'Raw FS'!N13</f>
        <v>0</v>
      </c>
    </row>
    <row r="16" spans="2:7" ht="15" thickBot="1" x14ac:dyDescent="0.4">
      <c r="B16" s="72" t="str">
        <v>Other liability items</v>
      </c>
      <c r="C16" s="72">
        <f>'Raw FS'!J14</f>
        <v>31385</v>
      </c>
      <c r="D16" s="72">
        <f>'Raw FS'!K14</f>
        <v>36637</v>
      </c>
      <c r="E16" s="72">
        <f>'Raw FS'!L14</f>
        <v>35244</v>
      </c>
      <c r="F16" s="72">
        <f>'Raw FS'!M14</f>
        <v>39201</v>
      </c>
      <c r="G16" s="72">
        <f>'Raw FS'!N14</f>
        <v>47071</v>
      </c>
    </row>
    <row r="17" spans="1:7" x14ac:dyDescent="0.35">
      <c r="B17" s="73" t="s">
        <v>162</v>
      </c>
      <c r="C17" s="73">
        <f>SUM(C14:C16)</f>
        <v>35519</v>
      </c>
      <c r="D17" s="73">
        <f t="shared" ref="D17:G17" si="1">SUM(D14:D16)</f>
        <v>40502</v>
      </c>
      <c r="E17" s="73">
        <f t="shared" si="1"/>
        <v>39200</v>
      </c>
      <c r="F17" s="73">
        <f t="shared" si="1"/>
        <v>43365</v>
      </c>
      <c r="G17" s="73">
        <f t="shared" si="1"/>
        <v>51815</v>
      </c>
    </row>
    <row r="18" spans="1:7" x14ac:dyDescent="0.35">
      <c r="B18" s="66"/>
      <c r="C18" s="66"/>
      <c r="D18" s="66"/>
      <c r="E18" s="66"/>
      <c r="F18" s="66"/>
      <c r="G18" s="66"/>
    </row>
    <row r="19" spans="1:7" x14ac:dyDescent="0.35">
      <c r="A19" s="44" t="s">
        <v>84</v>
      </c>
      <c r="B19" s="70" t="s">
        <v>163</v>
      </c>
      <c r="C19" s="70">
        <f>C11-C17</f>
        <v>17198</v>
      </c>
      <c r="D19" s="70">
        <f t="shared" ref="D19:G19" si="2">D11-D17</f>
        <v>22930</v>
      </c>
      <c r="E19" s="70">
        <f t="shared" si="2"/>
        <v>29496</v>
      </c>
      <c r="F19" s="70">
        <f t="shared" si="2"/>
        <v>24659</v>
      </c>
      <c r="G19" s="70">
        <f t="shared" si="2"/>
        <v>24096</v>
      </c>
    </row>
    <row r="21" spans="1:7" x14ac:dyDescent="0.35">
      <c r="B21" s="44" t="s">
        <v>164</v>
      </c>
    </row>
    <row r="22" spans="1:7" x14ac:dyDescent="0.35">
      <c r="B22" s="76" t="str" cm="1">
        <f t="array" ref="B22:B30">'Raw FS'!B18:B26</f>
        <v>Land</v>
      </c>
      <c r="C22" s="71">
        <f>'Raw FS'!J18</f>
        <v>2066</v>
      </c>
      <c r="D22" s="71">
        <f>'Raw FS'!K18</f>
        <v>2054</v>
      </c>
      <c r="E22" s="71">
        <f>'Raw FS'!L18</f>
        <v>2037</v>
      </c>
      <c r="F22" s="71">
        <f>'Raw FS'!M18</f>
        <v>2079</v>
      </c>
      <c r="G22" s="71">
        <f>'Raw FS'!N18</f>
        <v>1990</v>
      </c>
    </row>
    <row r="23" spans="1:7" x14ac:dyDescent="0.35">
      <c r="B23" s="76" t="str">
        <v>Building</v>
      </c>
      <c r="C23" s="71">
        <f>'Raw FS'!J19</f>
        <v>16760</v>
      </c>
      <c r="D23" s="71">
        <f>'Raw FS'!K19</f>
        <v>16903</v>
      </c>
      <c r="E23" s="71">
        <f>'Raw FS'!L19</f>
        <v>16515</v>
      </c>
      <c r="F23" s="71">
        <f>'Raw FS'!M19</f>
        <v>16376</v>
      </c>
      <c r="G23" s="71">
        <f>'Raw FS'!N19</f>
        <v>17193</v>
      </c>
    </row>
    <row r="24" spans="1:7" x14ac:dyDescent="0.35">
      <c r="B24" s="76" t="str">
        <v>Plant Machinery</v>
      </c>
      <c r="C24" s="71">
        <f>'Raw FS'!J20</f>
        <v>3210</v>
      </c>
      <c r="D24" s="71">
        <f>'Raw FS'!K20</f>
        <v>3302</v>
      </c>
      <c r="E24" s="71">
        <f>'Raw FS'!L20</f>
        <v>3428</v>
      </c>
      <c r="F24" s="71">
        <f>'Raw FS'!M20</f>
        <v>3461</v>
      </c>
      <c r="G24" s="71">
        <f>'Raw FS'!N20</f>
        <v>3714</v>
      </c>
    </row>
    <row r="25" spans="1:7" x14ac:dyDescent="0.35">
      <c r="B25" s="76" t="str">
        <v>Equipments</v>
      </c>
      <c r="C25" s="71">
        <f>'Raw FS'!J21</f>
        <v>1427</v>
      </c>
      <c r="D25" s="71">
        <f>'Raw FS'!K21</f>
        <v>1482</v>
      </c>
      <c r="E25" s="71">
        <f>'Raw FS'!L21</f>
        <v>1528</v>
      </c>
      <c r="F25" s="71">
        <f>'Raw FS'!M21</f>
        <v>1628</v>
      </c>
      <c r="G25" s="71">
        <f>'Raw FS'!N21</f>
        <v>1732</v>
      </c>
    </row>
    <row r="26" spans="1:7" x14ac:dyDescent="0.35">
      <c r="B26" s="76" t="str">
        <v>Computers</v>
      </c>
      <c r="C26" s="71">
        <f>'Raw FS'!J22</f>
        <v>9936</v>
      </c>
      <c r="D26" s="71">
        <f>'Raw FS'!K22</f>
        <v>11898</v>
      </c>
      <c r="E26" s="71">
        <f>'Raw FS'!L22</f>
        <v>12353</v>
      </c>
      <c r="F26" s="71">
        <f>'Raw FS'!M22</f>
        <v>12925</v>
      </c>
      <c r="G26" s="71">
        <f>'Raw FS'!N22</f>
        <v>13600</v>
      </c>
    </row>
    <row r="27" spans="1:7" x14ac:dyDescent="0.35">
      <c r="B27" s="76" t="str">
        <v>Furniture n fittings</v>
      </c>
      <c r="C27" s="71">
        <f>'Raw FS'!J23</f>
        <v>2278</v>
      </c>
      <c r="D27" s="71">
        <f>'Raw FS'!K23</f>
        <v>2303</v>
      </c>
      <c r="E27" s="71">
        <f>'Raw FS'!L23</f>
        <v>2326</v>
      </c>
      <c r="F27" s="71">
        <f>'Raw FS'!M23</f>
        <v>2340</v>
      </c>
      <c r="G27" s="71">
        <f>'Raw FS'!N23</f>
        <v>2438</v>
      </c>
    </row>
    <row r="28" spans="1:7" x14ac:dyDescent="0.35">
      <c r="B28" s="76" t="str">
        <v>Vehicles</v>
      </c>
      <c r="C28" s="71">
        <f>'Raw FS'!J24</f>
        <v>71</v>
      </c>
      <c r="D28" s="71">
        <f>'Raw FS'!K24</f>
        <v>60</v>
      </c>
      <c r="E28" s="71">
        <f>'Raw FS'!L24</f>
        <v>62</v>
      </c>
      <c r="F28" s="71">
        <f>'Raw FS'!M24</f>
        <v>72</v>
      </c>
      <c r="G28" s="71">
        <f>'Raw FS'!N24</f>
        <v>70</v>
      </c>
    </row>
    <row r="29" spans="1:7" x14ac:dyDescent="0.35">
      <c r="B29" s="76" t="str">
        <v>Intangible Assets</v>
      </c>
      <c r="C29" s="71">
        <f>'Raw FS'!J25</f>
        <v>6495</v>
      </c>
      <c r="D29" s="71">
        <f>'Raw FS'!K25</f>
        <v>7594</v>
      </c>
      <c r="E29" s="71">
        <f>'Raw FS'!L25</f>
        <v>7652</v>
      </c>
      <c r="F29" s="71">
        <f>'Raw FS'!M25</f>
        <v>10626</v>
      </c>
      <c r="G29" s="71">
        <f>'Raw FS'!N25</f>
        <v>12729</v>
      </c>
    </row>
    <row r="30" spans="1:7" x14ac:dyDescent="0.35">
      <c r="B30" s="76" t="str">
        <v>Other fixed assets</v>
      </c>
      <c r="C30" s="71">
        <f>'Raw FS'!J26</f>
        <v>2766</v>
      </c>
      <c r="D30" s="71">
        <f>'Raw FS'!K26</f>
        <v>3281</v>
      </c>
      <c r="E30" s="71">
        <f>'Raw FS'!L26</f>
        <v>3294</v>
      </c>
      <c r="F30" s="71">
        <f>'Raw FS'!M26</f>
        <v>5184</v>
      </c>
      <c r="G30" s="71">
        <f>'Raw FS'!N26</f>
        <v>6296</v>
      </c>
    </row>
    <row r="31" spans="1:7" x14ac:dyDescent="0.35">
      <c r="B31" s="76" t="s">
        <v>147</v>
      </c>
      <c r="C31" s="71">
        <f>SUM(C22:C30)</f>
        <v>45009</v>
      </c>
      <c r="D31" s="71">
        <f t="shared" ref="D31:G31" si="3">SUM(D22:D30)</f>
        <v>48877</v>
      </c>
      <c r="E31" s="71">
        <f t="shared" si="3"/>
        <v>49195</v>
      </c>
      <c r="F31" s="71">
        <f t="shared" si="3"/>
        <v>54691</v>
      </c>
      <c r="G31" s="71">
        <f t="shared" si="3"/>
        <v>59762</v>
      </c>
    </row>
    <row r="32" spans="1:7" ht="15" thickBot="1" x14ac:dyDescent="0.4">
      <c r="B32" s="77" t="s">
        <v>148</v>
      </c>
      <c r="C32" s="72">
        <f>-'Raw FS'!J28</f>
        <v>-19209</v>
      </c>
      <c r="D32" s="72">
        <f>-'Raw FS'!K28</f>
        <v>-19652</v>
      </c>
      <c r="E32" s="72">
        <f>-'Raw FS'!L28</f>
        <v>-21573</v>
      </c>
      <c r="F32" s="72">
        <f>-'Raw FS'!M28</f>
        <v>-23730</v>
      </c>
      <c r="G32" s="72">
        <f>-'Raw FS'!N28</f>
        <v>-25992</v>
      </c>
    </row>
    <row r="33" spans="1:7" x14ac:dyDescent="0.35">
      <c r="B33" s="78" t="s">
        <v>165</v>
      </c>
      <c r="C33" s="73">
        <f>SUM(C31:C32)</f>
        <v>25800</v>
      </c>
      <c r="D33" s="73">
        <f t="shared" ref="D33:G33" si="4">SUM(D31:D32)</f>
        <v>29225</v>
      </c>
      <c r="E33" s="73">
        <f t="shared" si="4"/>
        <v>27622</v>
      </c>
      <c r="F33" s="73">
        <f t="shared" si="4"/>
        <v>30961</v>
      </c>
      <c r="G33" s="73">
        <f t="shared" si="4"/>
        <v>33770</v>
      </c>
    </row>
    <row r="34" spans="1:7" x14ac:dyDescent="0.35">
      <c r="C34" s="66"/>
      <c r="D34" s="66"/>
      <c r="E34" s="66"/>
      <c r="F34" s="66"/>
      <c r="G34" s="66"/>
    </row>
    <row r="35" spans="1:7" x14ac:dyDescent="0.35">
      <c r="A35" s="44" t="s">
        <v>84</v>
      </c>
      <c r="B35" s="44" t="s">
        <v>166</v>
      </c>
      <c r="C35" s="67">
        <f>C33+C19</f>
        <v>42998</v>
      </c>
      <c r="D35" s="67">
        <f t="shared" ref="D35:G35" si="5">D33+D19</f>
        <v>52155</v>
      </c>
      <c r="E35" s="67">
        <f t="shared" si="5"/>
        <v>57118</v>
      </c>
      <c r="F35" s="67">
        <f t="shared" si="5"/>
        <v>55620</v>
      </c>
      <c r="G35" s="67">
        <f t="shared" si="5"/>
        <v>57866</v>
      </c>
    </row>
    <row r="36" spans="1:7" x14ac:dyDescent="0.35">
      <c r="B36" s="44" t="s">
        <v>167</v>
      </c>
      <c r="C36" s="67">
        <f>HistoricalFS!H17-HistoricalFS!H23</f>
        <v>28015</v>
      </c>
      <c r="D36" s="67">
        <f>HistoricalFS!I17-HistoricalFS!I23</f>
        <v>30905</v>
      </c>
      <c r="E36" s="67">
        <f>HistoricalFS!J17-HistoricalFS!J23</f>
        <v>31747</v>
      </c>
      <c r="F36" s="67">
        <f>HistoricalFS!K17-HistoricalFS!K23</f>
        <v>34424</v>
      </c>
      <c r="G36" s="67">
        <f>HistoricalFS!L17-HistoricalFS!L23</f>
        <v>37378</v>
      </c>
    </row>
    <row r="37" spans="1:7" ht="5" customHeight="1" thickBot="1" x14ac:dyDescent="0.4">
      <c r="C37" s="66"/>
      <c r="D37" s="66"/>
      <c r="E37" s="66"/>
      <c r="F37" s="66"/>
      <c r="G37" s="66"/>
    </row>
    <row r="38" spans="1:7" ht="15" thickBot="1" x14ac:dyDescent="0.4">
      <c r="A38" t="s">
        <v>84</v>
      </c>
      <c r="B38" s="79" t="s">
        <v>168</v>
      </c>
      <c r="C38" s="80">
        <f>C36/C35</f>
        <v>0.65154193218289225</v>
      </c>
      <c r="D38" s="80">
        <f t="shared" ref="D38:G38" si="6">D36/D35</f>
        <v>0.59256063656408786</v>
      </c>
      <c r="E38" s="80">
        <f t="shared" si="6"/>
        <v>0.55581427921145699</v>
      </c>
      <c r="F38" s="80">
        <f t="shared" si="6"/>
        <v>0.61891405969075874</v>
      </c>
      <c r="G38" s="80">
        <f t="shared" si="6"/>
        <v>0.64594062143573083</v>
      </c>
    </row>
    <row r="40" spans="1:7" x14ac:dyDescent="0.35">
      <c r="B40" s="61" t="s">
        <v>169</v>
      </c>
      <c r="C40" s="60">
        <f>'Raw FS'!J$4</f>
        <v>44621</v>
      </c>
      <c r="D40" s="60">
        <f>'Raw FS'!K$4</f>
        <v>44986</v>
      </c>
      <c r="E40" s="60">
        <f>'Raw FS'!L$4</f>
        <v>45352</v>
      </c>
      <c r="F40" s="60">
        <f>'Raw FS'!M$4</f>
        <v>45717</v>
      </c>
      <c r="G40" s="60">
        <f>'Raw FS'!N$4</f>
        <v>46082</v>
      </c>
    </row>
    <row r="42" spans="1:7" x14ac:dyDescent="0.35">
      <c r="B42" s="76" t="s">
        <v>170</v>
      </c>
      <c r="C42" s="71">
        <f>-'Raw FS'!J50</f>
        <v>2161</v>
      </c>
      <c r="D42" s="71">
        <f>-'Raw FS'!K50</f>
        <v>2579</v>
      </c>
      <c r="E42" s="71">
        <f>-'Raw FS'!L50</f>
        <v>2201</v>
      </c>
      <c r="F42" s="71">
        <f>-'Raw FS'!M50</f>
        <v>2237</v>
      </c>
      <c r="G42" s="71">
        <f>-'Raw FS'!N50</f>
        <v>2727</v>
      </c>
    </row>
    <row r="43" spans="1:7" x14ac:dyDescent="0.35">
      <c r="B43" s="76" t="s">
        <v>176</v>
      </c>
      <c r="C43" s="71"/>
      <c r="D43" s="71">
        <f>D19-C19</f>
        <v>5732</v>
      </c>
      <c r="E43" s="71">
        <f>E19-D19</f>
        <v>6566</v>
      </c>
      <c r="F43" s="71">
        <f t="shared" ref="F43:G43" si="7">F19-E19</f>
        <v>-4837</v>
      </c>
      <c r="G43" s="71">
        <f t="shared" si="7"/>
        <v>-563</v>
      </c>
    </row>
    <row r="44" spans="1:7" x14ac:dyDescent="0.35">
      <c r="C44" s="66"/>
      <c r="D44" s="66"/>
      <c r="E44" s="66"/>
      <c r="F44" s="66"/>
      <c r="G44" s="66"/>
    </row>
    <row r="45" spans="1:7" x14ac:dyDescent="0.35">
      <c r="B45" s="76" t="s">
        <v>167</v>
      </c>
      <c r="C45" s="71">
        <f>C36</f>
        <v>28015</v>
      </c>
      <c r="D45" s="71">
        <f>D36</f>
        <v>30905</v>
      </c>
      <c r="E45" s="71">
        <f t="shared" ref="E45:G45" si="8">E36</f>
        <v>31747</v>
      </c>
      <c r="F45" s="71">
        <f t="shared" si="8"/>
        <v>34424</v>
      </c>
      <c r="G45" s="71">
        <f t="shared" si="8"/>
        <v>37378</v>
      </c>
    </row>
    <row r="46" spans="1:7" x14ac:dyDescent="0.35">
      <c r="B46" s="76" t="s">
        <v>177</v>
      </c>
      <c r="C46" s="84">
        <f>HistoricalFS!H30</f>
        <v>0.26449684490202591</v>
      </c>
      <c r="D46" s="84">
        <f>HistoricalFS!I30</f>
        <v>0.27651401476502013</v>
      </c>
      <c r="E46" s="84">
        <f>HistoricalFS!J30</f>
        <v>0.27064577081249308</v>
      </c>
      <c r="F46" s="84">
        <f>HistoricalFS!K30</f>
        <v>0.28871516698574773</v>
      </c>
      <c r="G46" s="84">
        <f>HistoricalFS!L30</f>
        <v>0.26305788223527943</v>
      </c>
    </row>
    <row r="47" spans="1:7" x14ac:dyDescent="0.35">
      <c r="B47" s="76" t="s">
        <v>178</v>
      </c>
      <c r="C47" s="71">
        <f>C45*(1-C46)</f>
        <v>20605.120890069742</v>
      </c>
      <c r="D47" s="71">
        <f t="shared" ref="D47:G47" si="9">D45*(1-D46)</f>
        <v>22359.334373687052</v>
      </c>
      <c r="E47" s="71">
        <f t="shared" si="9"/>
        <v>23154.80871401578</v>
      </c>
      <c r="F47" s="71">
        <f t="shared" si="9"/>
        <v>24485.269091682621</v>
      </c>
      <c r="G47" s="71">
        <f t="shared" si="9"/>
        <v>27545.422477809727</v>
      </c>
    </row>
    <row r="48" spans="1:7" x14ac:dyDescent="0.35">
      <c r="B48" s="76"/>
      <c r="C48" s="71"/>
      <c r="D48" s="71"/>
      <c r="E48" s="71"/>
      <c r="F48" s="71"/>
      <c r="G48" s="71"/>
    </row>
    <row r="49" spans="2:7" x14ac:dyDescent="0.35">
      <c r="B49" s="76" t="s">
        <v>179</v>
      </c>
      <c r="C49" s="71"/>
      <c r="D49" s="81">
        <f>SUM(D42:D43)</f>
        <v>8311</v>
      </c>
      <c r="E49" s="81">
        <f t="shared" ref="E49:G49" si="10">SUM(E42:E43)</f>
        <v>8767</v>
      </c>
      <c r="F49" s="81">
        <f t="shared" si="10"/>
        <v>-2600</v>
      </c>
      <c r="G49" s="81">
        <f t="shared" si="10"/>
        <v>2164</v>
      </c>
    </row>
    <row r="50" spans="2:7" ht="4" customHeight="1" thickBot="1" x14ac:dyDescent="0.4"/>
    <row r="51" spans="2:7" ht="15" thickBot="1" x14ac:dyDescent="0.4">
      <c r="B51" s="79" t="s">
        <v>180</v>
      </c>
      <c r="C51" s="79"/>
      <c r="D51" s="80">
        <f>D49/D47</f>
        <v>0.37170158382624147</v>
      </c>
      <c r="E51" s="80">
        <f t="shared" ref="E51:G51" si="11">E49/E47</f>
        <v>0.37862545565722028</v>
      </c>
      <c r="F51" s="80">
        <f t="shared" si="11"/>
        <v>-0.10618629471722618</v>
      </c>
      <c r="G51" s="80">
        <f t="shared" si="11"/>
        <v>7.8561147564292888E-2</v>
      </c>
    </row>
    <row r="53" spans="2:7" x14ac:dyDescent="0.35">
      <c r="F53" s="68" t="s">
        <v>181</v>
      </c>
      <c r="G53" s="69">
        <f>AVERAGE(D51:G51)</f>
        <v>0.18067547308263213</v>
      </c>
    </row>
    <row r="54" spans="2:7" x14ac:dyDescent="0.35">
      <c r="F54" s="68" t="s">
        <v>182</v>
      </c>
      <c r="G54" s="69">
        <f>MEDIAN(D51:G51)</f>
        <v>0.22513136569526718</v>
      </c>
    </row>
    <row r="56" spans="2:7" x14ac:dyDescent="0.35">
      <c r="B56" s="61" t="s">
        <v>183</v>
      </c>
      <c r="C56" s="60">
        <f>'Raw FS'!J$4</f>
        <v>44621</v>
      </c>
      <c r="D56" s="60">
        <f>'Raw FS'!K$4</f>
        <v>44986</v>
      </c>
      <c r="E56" s="60">
        <f>'Raw FS'!L$4</f>
        <v>45352</v>
      </c>
      <c r="F56" s="60">
        <f>'Raw FS'!M$4</f>
        <v>45717</v>
      </c>
      <c r="G56" s="60">
        <f>'Raw FS'!N$4</f>
        <v>46082</v>
      </c>
    </row>
    <row r="58" spans="2:7" x14ac:dyDescent="0.35">
      <c r="B58" s="76" t="s">
        <v>180</v>
      </c>
      <c r="C58" s="76"/>
      <c r="D58" s="82">
        <f>D51</f>
        <v>0.37170158382624147</v>
      </c>
      <c r="E58" s="82">
        <f t="shared" ref="E58:G58" si="12">E51</f>
        <v>0.37862545565722028</v>
      </c>
      <c r="F58" s="82">
        <f t="shared" si="12"/>
        <v>-0.10618629471722618</v>
      </c>
      <c r="G58" s="82">
        <f t="shared" si="12"/>
        <v>7.8561147564292888E-2</v>
      </c>
    </row>
    <row r="59" spans="2:7" x14ac:dyDescent="0.35">
      <c r="B59" s="76" t="s">
        <v>168</v>
      </c>
      <c r="C59" s="76"/>
      <c r="D59" s="82">
        <f>D38</f>
        <v>0.59256063656408786</v>
      </c>
      <c r="E59" s="82">
        <f t="shared" ref="E59:G59" si="13">E38</f>
        <v>0.55581427921145699</v>
      </c>
      <c r="F59" s="82">
        <f t="shared" si="13"/>
        <v>0.61891405969075874</v>
      </c>
      <c r="G59" s="82">
        <f t="shared" si="13"/>
        <v>0.64594062143573083</v>
      </c>
    </row>
    <row r="60" spans="2:7" ht="4" customHeight="1" thickBot="1" x14ac:dyDescent="0.4"/>
    <row r="61" spans="2:7" ht="15" thickBot="1" x14ac:dyDescent="0.4">
      <c r="B61" s="79" t="s">
        <v>184</v>
      </c>
      <c r="C61" s="79"/>
      <c r="D61" s="83">
        <f>D58*D59</f>
        <v>0.2202557271239573</v>
      </c>
      <c r="E61" s="83">
        <f t="shared" ref="E61:G61" si="14">E58*E59</f>
        <v>0.21044543472722735</v>
      </c>
      <c r="F61" s="83">
        <f t="shared" si="14"/>
        <v>-6.5720190746957827E-2</v>
      </c>
      <c r="G61" s="83">
        <f t="shared" si="14"/>
        <v>5.0745836478383502E-2</v>
      </c>
    </row>
    <row r="63" spans="2:7" x14ac:dyDescent="0.35">
      <c r="F63" s="68" t="s">
        <v>181</v>
      </c>
      <c r="G63" s="69">
        <f>AVERAGE(D61:G61)</f>
        <v>0.10393170189565258</v>
      </c>
    </row>
    <row r="64" spans="2:7" x14ac:dyDescent="0.35">
      <c r="F64" s="68" t="s">
        <v>182</v>
      </c>
      <c r="G64" s="69">
        <f>MEDIAN(D61:G61)</f>
        <v>0.1305956356028054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3193-55D1-4B5B-87C8-47E8AB170E75}">
  <dimension ref="B5:J42"/>
  <sheetViews>
    <sheetView showGridLines="0" zoomScale="82" workbookViewId="0">
      <pane ySplit="4" topLeftCell="A5" activePane="bottomLeft" state="frozen"/>
      <selection pane="bottomLeft" activeCell="L11" sqref="L11"/>
    </sheetView>
  </sheetViews>
  <sheetFormatPr defaultRowHeight="14.5" outlineLevelRow="1" x14ac:dyDescent="0.35"/>
  <cols>
    <col min="1" max="1" width="1.81640625" customWidth="1"/>
    <col min="2" max="2" width="25.6328125" bestFit="1" customWidth="1"/>
    <col min="3" max="3" width="11.81640625" bestFit="1" customWidth="1"/>
    <col min="5" max="5" width="9.54296875" style="7" bestFit="1" customWidth="1"/>
    <col min="6" max="6" width="10.36328125" style="7" bestFit="1" customWidth="1"/>
    <col min="7" max="7" width="11.81640625" bestFit="1" customWidth="1"/>
    <col min="8" max="8" width="10.6328125" bestFit="1" customWidth="1"/>
    <col min="9" max="10" width="10.36328125" bestFit="1" customWidth="1"/>
    <col min="11" max="11" width="11.81640625" bestFit="1" customWidth="1"/>
  </cols>
  <sheetData>
    <row r="5" spans="2:10" x14ac:dyDescent="0.35">
      <c r="B5" s="61" t="s">
        <v>222</v>
      </c>
      <c r="C5" s="61"/>
      <c r="D5" s="61"/>
      <c r="E5" s="111">
        <f>'Raw FS'!N$4</f>
        <v>46082</v>
      </c>
      <c r="F5" s="117">
        <f>E5+366</f>
        <v>46448</v>
      </c>
      <c r="G5" s="92">
        <f t="shared" ref="G5:J5" si="0">F5+365</f>
        <v>46813</v>
      </c>
      <c r="H5" s="92">
        <f t="shared" si="0"/>
        <v>47178</v>
      </c>
      <c r="I5" s="92">
        <f t="shared" si="0"/>
        <v>47543</v>
      </c>
      <c r="J5" s="92">
        <f t="shared" si="0"/>
        <v>47908</v>
      </c>
    </row>
    <row r="7" spans="2:10" x14ac:dyDescent="0.35">
      <c r="B7" s="76" t="s">
        <v>167</v>
      </c>
      <c r="C7" s="76"/>
      <c r="D7" s="76"/>
      <c r="E7" s="112">
        <f>HistoricalFS!L17-HistoricalFS!L23</f>
        <v>37378</v>
      </c>
      <c r="F7" s="112">
        <f>E7*(1+$C$16)</f>
        <v>42259.403667561666</v>
      </c>
      <c r="G7" s="102">
        <f>F7*(1+$C$16)</f>
        <v>47778.297349722416</v>
      </c>
      <c r="H7" s="102">
        <f>G7*(1+$C$16)</f>
        <v>54017.934460129254</v>
      </c>
      <c r="I7" s="102">
        <f>H7*(1+$C$16)</f>
        <v>61072.440944900525</v>
      </c>
      <c r="J7" s="102">
        <f>I7*(1+$C$16)</f>
        <v>69048.235187914615</v>
      </c>
    </row>
    <row r="8" spans="2:10" x14ac:dyDescent="0.35">
      <c r="B8" s="76" t="s">
        <v>27</v>
      </c>
      <c r="C8" s="76"/>
      <c r="D8" s="76"/>
      <c r="E8" s="113">
        <f>HistoricalFS!L30</f>
        <v>0.26305788223527943</v>
      </c>
      <c r="F8" s="113">
        <f>Assumptions!$C$5</f>
        <v>0.2726859359401132</v>
      </c>
      <c r="G8" s="105">
        <f>Assumptions!$C$5</f>
        <v>0.2726859359401132</v>
      </c>
      <c r="H8" s="105">
        <f>Assumptions!$C$5</f>
        <v>0.2726859359401132</v>
      </c>
      <c r="I8" s="105">
        <f>Assumptions!$C$5</f>
        <v>0.2726859359401132</v>
      </c>
      <c r="J8" s="105">
        <f>Assumptions!$C$5</f>
        <v>0.2726859359401132</v>
      </c>
    </row>
    <row r="9" spans="2:10" x14ac:dyDescent="0.35">
      <c r="B9" s="76" t="s">
        <v>178</v>
      </c>
      <c r="C9" s="76"/>
      <c r="D9" s="76"/>
      <c r="E9" s="112">
        <f t="shared" ref="E9:J9" si="1">E7*(1-E8)</f>
        <v>27545.422477809727</v>
      </c>
      <c r="F9" s="112">
        <f>F7*(1-F8)</f>
        <v>30735.85862620156</v>
      </c>
      <c r="G9" s="102">
        <f t="shared" si="1"/>
        <v>34749.827619288328</v>
      </c>
      <c r="H9" s="102">
        <f t="shared" si="1"/>
        <v>39288.003444317212</v>
      </c>
      <c r="I9" s="102">
        <f t="shared" si="1"/>
        <v>44418.845225693032</v>
      </c>
      <c r="J9" s="102">
        <f t="shared" si="1"/>
        <v>50219.752550685058</v>
      </c>
    </row>
    <row r="10" spans="2:10" x14ac:dyDescent="0.35">
      <c r="B10" s="76" t="s">
        <v>223</v>
      </c>
      <c r="C10" s="76"/>
      <c r="D10" s="76"/>
      <c r="E10" s="114">
        <f>'Intrinsic Growth'!G54</f>
        <v>0.22513136569526718</v>
      </c>
      <c r="F10" s="114">
        <f>E10+(($J$10-$E$10)/4)</f>
        <v>0.23134852427145039</v>
      </c>
      <c r="G10" s="84">
        <f t="shared" ref="G10:I10" si="2">F10+(($J$10-$E$10)/4)</f>
        <v>0.2375656828476336</v>
      </c>
      <c r="H10" s="84">
        <f t="shared" si="2"/>
        <v>0.24378284142381682</v>
      </c>
      <c r="I10" s="84">
        <f t="shared" si="2"/>
        <v>0.25</v>
      </c>
      <c r="J10" s="105">
        <v>0.25</v>
      </c>
    </row>
    <row r="11" spans="2:10" x14ac:dyDescent="0.35">
      <c r="B11" s="76" t="s">
        <v>224</v>
      </c>
      <c r="C11" s="76"/>
      <c r="D11" s="76"/>
      <c r="E11" s="112">
        <f>E9*(1-E10)</f>
        <v>21344.083896727312</v>
      </c>
      <c r="F11" s="112">
        <f>F9*(1-F10)</f>
        <v>23625.163090813901</v>
      </c>
      <c r="G11" s="102">
        <f t="shared" ref="G11:J11" si="3">G9*(1-G10)</f>
        <v>26494.46109207454</v>
      </c>
      <c r="H11" s="102">
        <f t="shared" si="3"/>
        <v>29710.262330792862</v>
      </c>
      <c r="I11" s="102">
        <f t="shared" si="3"/>
        <v>33314.133919269778</v>
      </c>
      <c r="J11" s="102">
        <f t="shared" si="3"/>
        <v>37664.814413013795</v>
      </c>
    </row>
    <row r="12" spans="2:10" x14ac:dyDescent="0.35">
      <c r="B12" s="76" t="s">
        <v>225</v>
      </c>
      <c r="C12" s="76"/>
      <c r="D12" s="76"/>
      <c r="E12" s="112"/>
      <c r="F12" s="112">
        <v>0.5</v>
      </c>
      <c r="G12" s="102">
        <f>F12+1</f>
        <v>1.5</v>
      </c>
      <c r="H12" s="102">
        <f t="shared" ref="H12:J12" si="4">G12+1</f>
        <v>2.5</v>
      </c>
      <c r="I12" s="102">
        <f t="shared" si="4"/>
        <v>3.5</v>
      </c>
      <c r="J12" s="102">
        <f t="shared" si="4"/>
        <v>4.5</v>
      </c>
    </row>
    <row r="13" spans="2:10" x14ac:dyDescent="0.35">
      <c r="B13" s="76" t="s">
        <v>226</v>
      </c>
      <c r="C13" s="76"/>
      <c r="D13" s="76"/>
      <c r="E13" s="112"/>
      <c r="F13" s="112">
        <f>1/(1+$C$18)^F12</f>
        <v>0.93710851282759389</v>
      </c>
      <c r="G13" s="102">
        <f>1/(1+$C$18)^G12</f>
        <v>0.82294279879708698</v>
      </c>
      <c r="H13" s="102">
        <f>1/(1+$C$18)^H12</f>
        <v>0.72268562372624412</v>
      </c>
      <c r="I13" s="102">
        <f>1/(1+$C$18)^I12</f>
        <v>0.63464254320471647</v>
      </c>
      <c r="J13" s="102">
        <f>1/(1+$C$18)^J12</f>
        <v>0.55732554297762182</v>
      </c>
    </row>
    <row r="14" spans="2:10" ht="15" thickBot="1" x14ac:dyDescent="0.4">
      <c r="B14" s="96" t="s">
        <v>227</v>
      </c>
      <c r="C14" s="96"/>
      <c r="D14" s="96"/>
      <c r="E14" s="115"/>
      <c r="F14" s="115">
        <f>F11*F13</f>
        <v>22139.341449341977</v>
      </c>
      <c r="G14" s="103">
        <f>G11*G13</f>
        <v>21803.425963732348</v>
      </c>
      <c r="H14" s="103">
        <f>H11*H13</f>
        <v>21471.179463599376</v>
      </c>
      <c r="I14" s="103">
        <f>I11*I13</f>
        <v>21142.566675187882</v>
      </c>
      <c r="J14" s="103">
        <f>J11*J13</f>
        <v>20991.563143884268</v>
      </c>
    </row>
    <row r="16" spans="2:10" outlineLevel="1" x14ac:dyDescent="0.35">
      <c r="B16" s="93" t="s">
        <v>228</v>
      </c>
      <c r="C16" s="94">
        <f>'Intrinsic Growth'!G64</f>
        <v>0.1305956356028054</v>
      </c>
    </row>
    <row r="17" spans="2:10" outlineLevel="1" x14ac:dyDescent="0.35">
      <c r="B17" s="93" t="s">
        <v>229</v>
      </c>
      <c r="C17" s="95">
        <v>0.04</v>
      </c>
    </row>
    <row r="18" spans="2:10" outlineLevel="1" x14ac:dyDescent="0.35">
      <c r="B18" s="93" t="s">
        <v>49</v>
      </c>
      <c r="C18" s="94">
        <f>WACC!J51</f>
        <v>0.13872861418483207</v>
      </c>
    </row>
    <row r="20" spans="2:10" x14ac:dyDescent="0.35">
      <c r="B20" s="61" t="s">
        <v>230</v>
      </c>
      <c r="C20" s="61"/>
      <c r="D20" s="104"/>
      <c r="E20" s="138" t="s">
        <v>245</v>
      </c>
      <c r="F20" s="138"/>
      <c r="G20" s="138"/>
      <c r="H20" s="138"/>
      <c r="I20" s="138"/>
      <c r="J20" s="138"/>
    </row>
    <row r="21" spans="2:10" x14ac:dyDescent="0.35">
      <c r="E21" s="108">
        <f>C32</f>
        <v>328671.66735780973</v>
      </c>
      <c r="F21" s="116">
        <v>0.1</v>
      </c>
      <c r="G21" s="106">
        <v>0.12</v>
      </c>
      <c r="H21" s="106">
        <v>0.13869999999999999</v>
      </c>
      <c r="I21" s="106">
        <v>0.15</v>
      </c>
      <c r="J21" s="106">
        <v>0.18</v>
      </c>
    </row>
    <row r="22" spans="2:10" x14ac:dyDescent="0.35">
      <c r="B22" t="s">
        <v>231</v>
      </c>
      <c r="C22" s="97">
        <f>J11*(1+C17)</f>
        <v>39171.406989534349</v>
      </c>
      <c r="E22" s="109">
        <v>0.03</v>
      </c>
      <c r="F22" s="118">
        <f t="dataTable" ref="F22:J26" dt2D="1" dtr="1" r1="C23" r2="C24"/>
        <v>419422.72911916929</v>
      </c>
      <c r="G22" s="110">
        <v>350117.25080285297</v>
      </c>
      <c r="H22" s="110">
        <v>308387.31928672694</v>
      </c>
      <c r="I22" s="110">
        <v>289474.95727607619</v>
      </c>
      <c r="J22" s="110">
        <v>253089.58116001013</v>
      </c>
    </row>
    <row r="23" spans="2:10" x14ac:dyDescent="0.35">
      <c r="B23" t="s">
        <v>49</v>
      </c>
      <c r="C23" s="1">
        <f>C18</f>
        <v>0.13872861418483207</v>
      </c>
      <c r="E23" s="109">
        <v>0.04</v>
      </c>
      <c r="F23" s="118">
        <v>471401.83785640658</v>
      </c>
      <c r="G23" s="110">
        <v>380438.39756624145</v>
      </c>
      <c r="H23" s="121">
        <v>328735.77344994689</v>
      </c>
      <c r="I23" s="110">
        <v>306013.76460156078</v>
      </c>
      <c r="J23" s="110">
        <v>263485.40290745755</v>
      </c>
    </row>
    <row r="24" spans="2:10" x14ac:dyDescent="0.35">
      <c r="B24" t="s">
        <v>232</v>
      </c>
      <c r="C24" s="1">
        <f>C17</f>
        <v>0.04</v>
      </c>
      <c r="E24" s="109">
        <v>0.05</v>
      </c>
      <c r="F24" s="118">
        <v>544172.59008853859</v>
      </c>
      <c r="G24" s="110">
        <v>419422.72911916929</v>
      </c>
      <c r="H24" s="110">
        <v>353672.37962291209</v>
      </c>
      <c r="I24" s="110">
        <v>325860.33339214226</v>
      </c>
      <c r="J24" s="110">
        <v>275480.58184681996</v>
      </c>
    </row>
    <row r="25" spans="2:10" ht="20.5" customHeight="1" thickBot="1" x14ac:dyDescent="0.4">
      <c r="E25" s="109">
        <v>0.06</v>
      </c>
      <c r="F25" s="118">
        <v>653328.71843673673</v>
      </c>
      <c r="G25" s="110">
        <v>471401.83785640658</v>
      </c>
      <c r="H25" s="110">
        <v>384946.11570006155</v>
      </c>
      <c r="I25" s="110">
        <v>350117.25080285297</v>
      </c>
      <c r="J25" s="110">
        <v>289474.95727607619</v>
      </c>
    </row>
    <row r="26" spans="2:10" ht="15" thickBot="1" x14ac:dyDescent="0.4">
      <c r="B26" s="100" t="s">
        <v>233</v>
      </c>
      <c r="C26" s="100">
        <f>C22/(C23-C24)</f>
        <v>396758.39991231594</v>
      </c>
      <c r="E26" s="109">
        <v>7.0000000000000007E-2</v>
      </c>
      <c r="F26" s="118">
        <v>835255.59901706723</v>
      </c>
      <c r="G26" s="110">
        <v>544172.59008853871</v>
      </c>
      <c r="H26" s="110">
        <v>425324.28731641034</v>
      </c>
      <c r="I26" s="110">
        <v>380438.39756624145</v>
      </c>
      <c r="J26" s="110">
        <v>306013.76460156078</v>
      </c>
    </row>
    <row r="28" spans="2:10" x14ac:dyDescent="0.35">
      <c r="B28" s="61" t="s">
        <v>234</v>
      </c>
      <c r="C28" s="61"/>
      <c r="D28" s="104"/>
      <c r="E28" s="138" t="s">
        <v>245</v>
      </c>
      <c r="F28" s="138"/>
      <c r="G28" s="138"/>
      <c r="H28" s="138"/>
      <c r="I28" s="138"/>
      <c r="J28" s="138"/>
    </row>
    <row r="29" spans="2:10" x14ac:dyDescent="0.35">
      <c r="E29" s="119">
        <f>C39</f>
        <v>842.00173648385487</v>
      </c>
      <c r="F29" s="116">
        <v>0.12</v>
      </c>
      <c r="G29" s="106">
        <v>0.125</v>
      </c>
      <c r="H29" s="106">
        <v>0.13</v>
      </c>
      <c r="I29" s="116">
        <v>0.13869999999999999</v>
      </c>
      <c r="J29" s="106">
        <v>0.15</v>
      </c>
    </row>
    <row r="30" spans="2:10" x14ac:dyDescent="0.35">
      <c r="B30" t="s">
        <v>227</v>
      </c>
      <c r="C30" s="97">
        <f>SUM(F14:J14)</f>
        <v>107548.07669574584</v>
      </c>
      <c r="E30" s="120">
        <v>0.03</v>
      </c>
      <c r="F30" s="33">
        <f t="dataTable" ref="F30:J34" dt2D="1" dtr="1" r1="C23" r2="C24" ca="1"/>
        <v>894.84749187346517</v>
      </c>
      <c r="G30" s="97">
        <v>863.38781535686883</v>
      </c>
      <c r="H30" s="97">
        <v>835.07410649193196</v>
      </c>
      <c r="I30" s="33">
        <v>792.01747286383613</v>
      </c>
      <c r="J30" s="97">
        <v>745.41402841963247</v>
      </c>
    </row>
    <row r="31" spans="2:10" x14ac:dyDescent="0.35">
      <c r="B31" t="s">
        <v>235</v>
      </c>
      <c r="C31" s="97">
        <f>C26*J13</f>
        <v>221123.59066206391</v>
      </c>
      <c r="E31" s="120">
        <v>3.5000000000000003E-2</v>
      </c>
      <c r="F31" s="33">
        <v>930.00830680377862</v>
      </c>
      <c r="G31" s="97">
        <v>894.84749187346517</v>
      </c>
      <c r="H31" s="97">
        <v>863.38781535686883</v>
      </c>
      <c r="I31" s="33">
        <v>815.87975998079355</v>
      </c>
      <c r="J31" s="97">
        <v>764.90534973969761</v>
      </c>
    </row>
    <row r="32" spans="2:10" x14ac:dyDescent="0.35">
      <c r="B32" s="44" t="s">
        <v>236</v>
      </c>
      <c r="C32" s="107">
        <f>SUM(C30:C31)</f>
        <v>328671.66735780973</v>
      </c>
      <c r="E32" s="120">
        <v>0.04</v>
      </c>
      <c r="F32" s="33">
        <v>969.56422360038164</v>
      </c>
      <c r="G32" s="97">
        <v>930.00830680377862</v>
      </c>
      <c r="H32" s="97">
        <v>894.84749187346517</v>
      </c>
      <c r="I32" s="122">
        <v>842.1597053669467</v>
      </c>
      <c r="J32" s="97">
        <v>786.16860936158685</v>
      </c>
    </row>
    <row r="33" spans="2:10" x14ac:dyDescent="0.35">
      <c r="E33" s="120">
        <v>4.4999999999999998E-2</v>
      </c>
      <c r="F33" s="33">
        <v>1014.3942626365314</v>
      </c>
      <c r="G33" s="97">
        <v>969.56422360038141</v>
      </c>
      <c r="H33" s="97">
        <v>930.00830680377862</v>
      </c>
      <c r="I33" s="33">
        <v>871.24434076229409</v>
      </c>
      <c r="J33" s="97">
        <v>809.45694132841788</v>
      </c>
    </row>
    <row r="34" spans="2:10" x14ac:dyDescent="0.35">
      <c r="B34" t="s">
        <v>237</v>
      </c>
      <c r="C34">
        <f>'Data Sheet'!K69</f>
        <v>22201</v>
      </c>
      <c r="E34" s="120">
        <v>0.05</v>
      </c>
      <c r="F34" s="33">
        <v>1065.6285929635596</v>
      </c>
      <c r="G34" s="97">
        <v>1014.3942626365314</v>
      </c>
      <c r="H34" s="97">
        <v>969.56422360038141</v>
      </c>
      <c r="I34" s="33">
        <v>903.60796549195379</v>
      </c>
      <c r="J34" s="97">
        <v>835.07410649193207</v>
      </c>
    </row>
    <row r="35" spans="2:10" x14ac:dyDescent="0.35">
      <c r="B35" t="s">
        <v>238</v>
      </c>
      <c r="C35">
        <f>'Raw FS'!N8</f>
        <v>9176</v>
      </c>
    </row>
    <row r="36" spans="2:10" x14ac:dyDescent="0.35">
      <c r="B36" t="s">
        <v>239</v>
      </c>
      <c r="C36" s="97">
        <f>C32+C34-C35</f>
        <v>341696.66735780973</v>
      </c>
    </row>
    <row r="37" spans="2:10" x14ac:dyDescent="0.35">
      <c r="B37" t="s">
        <v>240</v>
      </c>
      <c r="C37" s="98">
        <f>'Data Sheet'!B6</f>
        <v>405.81468250257183</v>
      </c>
    </row>
    <row r="38" spans="2:10" ht="3.5" customHeight="1" thickBot="1" x14ac:dyDescent="0.4"/>
    <row r="39" spans="2:10" ht="15" thickBot="1" x14ac:dyDescent="0.4">
      <c r="B39" s="100" t="s">
        <v>241</v>
      </c>
      <c r="C39" s="101">
        <f>C36/C37</f>
        <v>842.00173648385487</v>
      </c>
    </row>
    <row r="41" spans="2:10" x14ac:dyDescent="0.35">
      <c r="B41" t="s">
        <v>242</v>
      </c>
      <c r="C41">
        <v>1175</v>
      </c>
    </row>
    <row r="42" spans="2:10" x14ac:dyDescent="0.35">
      <c r="B42" t="s">
        <v>243</v>
      </c>
      <c r="C42" s="99">
        <f>C41/C39-1</f>
        <v>0.39548405791504004</v>
      </c>
    </row>
  </sheetData>
  <mergeCells count="2">
    <mergeCell ref="E20:J20"/>
    <mergeCell ref="E28:J2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D773-E667-4BB2-8BCC-FFF7337C2AF8}">
  <dimension ref="B5:C5"/>
  <sheetViews>
    <sheetView showGridLines="0" workbookViewId="0">
      <selection activeCell="C6" sqref="C6"/>
    </sheetView>
  </sheetViews>
  <sheetFormatPr defaultRowHeight="14.5" x14ac:dyDescent="0.35"/>
  <cols>
    <col min="1" max="1" width="1.81640625" customWidth="1"/>
    <col min="2" max="2" width="18.54296875" bestFit="1" customWidth="1"/>
  </cols>
  <sheetData>
    <row r="5" spans="2:3" x14ac:dyDescent="0.35">
      <c r="B5" t="s">
        <v>244</v>
      </c>
      <c r="C5" s="1">
        <f>AVERAGE(HistoricalFS!H30:L30)</f>
        <v>0.2726859359401132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7279-1D5B-45F3-A12E-635D841C05EB}">
  <dimension ref="A5:G34"/>
  <sheetViews>
    <sheetView showGridLines="0" topLeftCell="A3" workbookViewId="0">
      <selection activeCell="E13" sqref="E13"/>
    </sheetView>
  </sheetViews>
  <sheetFormatPr defaultRowHeight="14.5" x14ac:dyDescent="0.35"/>
  <cols>
    <col min="1" max="1" width="1.81640625" customWidth="1"/>
    <col min="2" max="2" width="15.90625" bestFit="1" customWidth="1"/>
    <col min="3" max="3" width="7.453125" bestFit="1" customWidth="1"/>
    <col min="5" max="5" width="18.54296875" bestFit="1" customWidth="1"/>
    <col min="6" max="6" width="21.08984375" bestFit="1" customWidth="1"/>
  </cols>
  <sheetData>
    <row r="5" spans="1:7" x14ac:dyDescent="0.35">
      <c r="A5" s="3"/>
      <c r="B5" s="3" t="s">
        <v>32</v>
      </c>
      <c r="C5" s="3"/>
      <c r="D5" s="3"/>
      <c r="E5" s="3"/>
      <c r="F5" s="3"/>
      <c r="G5" s="3"/>
    </row>
    <row r="7" spans="1:7" x14ac:dyDescent="0.35">
      <c r="B7" s="142" t="s">
        <v>33</v>
      </c>
      <c r="C7" s="143" t="s">
        <v>34</v>
      </c>
    </row>
    <row r="8" spans="1:7" x14ac:dyDescent="0.35">
      <c r="B8" s="18">
        <v>2000</v>
      </c>
      <c r="C8" s="2">
        <v>-0.14649999999999999</v>
      </c>
      <c r="E8" t="s">
        <v>35</v>
      </c>
      <c r="F8" s="1">
        <f>AVERAGE(C8:C34)</f>
        <v>0.14588148148148147</v>
      </c>
    </row>
    <row r="9" spans="1:7" x14ac:dyDescent="0.35">
      <c r="B9" s="18">
        <v>2001</v>
      </c>
      <c r="C9" s="2">
        <v>-0.1618</v>
      </c>
      <c r="E9" t="s">
        <v>36</v>
      </c>
      <c r="F9" s="1">
        <v>1.2999999999999999E-2</v>
      </c>
    </row>
    <row r="10" spans="1:7" x14ac:dyDescent="0.35">
      <c r="B10" s="18">
        <v>2002</v>
      </c>
      <c r="C10" s="2">
        <v>3.2500000000000001E-2</v>
      </c>
      <c r="E10" t="s">
        <v>37</v>
      </c>
      <c r="F10" s="1">
        <f>SUM(F8:F9)</f>
        <v>0.15888148148148148</v>
      </c>
    </row>
    <row r="11" spans="1:7" x14ac:dyDescent="0.35">
      <c r="B11" s="18">
        <v>2003</v>
      </c>
      <c r="C11" s="2">
        <v>0.71900000000000008</v>
      </c>
    </row>
    <row r="12" spans="1:7" x14ac:dyDescent="0.35">
      <c r="B12" s="18">
        <v>2004</v>
      </c>
      <c r="C12" s="2">
        <v>0.10679999999999999</v>
      </c>
    </row>
    <row r="13" spans="1:7" x14ac:dyDescent="0.35">
      <c r="B13" s="18">
        <v>2005</v>
      </c>
      <c r="C13" s="2">
        <v>0.36340000000000006</v>
      </c>
    </row>
    <row r="14" spans="1:7" x14ac:dyDescent="0.35">
      <c r="B14" s="18">
        <v>2006</v>
      </c>
      <c r="C14" s="2">
        <v>0.39829999999999999</v>
      </c>
    </row>
    <row r="15" spans="1:7" x14ac:dyDescent="0.35">
      <c r="B15" s="18">
        <v>2007</v>
      </c>
      <c r="C15" s="2">
        <v>0.54770000000000008</v>
      </c>
    </row>
    <row r="16" spans="1:7" x14ac:dyDescent="0.35">
      <c r="B16" s="18">
        <v>2008</v>
      </c>
      <c r="C16" s="2">
        <v>-0.51790000000000003</v>
      </c>
    </row>
    <row r="17" spans="2:3" x14ac:dyDescent="0.35">
      <c r="B17" s="18">
        <v>2009</v>
      </c>
      <c r="C17" s="2">
        <v>0.75760000000000005</v>
      </c>
    </row>
    <row r="18" spans="2:3" x14ac:dyDescent="0.35">
      <c r="B18" s="18">
        <v>2010</v>
      </c>
      <c r="C18" s="2">
        <v>0.17949999999999999</v>
      </c>
    </row>
    <row r="19" spans="2:3" x14ac:dyDescent="0.35">
      <c r="B19" s="18">
        <v>2011</v>
      </c>
      <c r="C19" s="2">
        <v>-0.2462</v>
      </c>
    </row>
    <row r="20" spans="2:3" x14ac:dyDescent="0.35">
      <c r="B20" s="18">
        <v>2012</v>
      </c>
      <c r="C20" s="2">
        <v>0.27699999999999997</v>
      </c>
    </row>
    <row r="21" spans="2:3" x14ac:dyDescent="0.35">
      <c r="B21" s="18">
        <v>2013</v>
      </c>
      <c r="C21" s="2">
        <v>6.7599999999999993E-2</v>
      </c>
    </row>
    <row r="22" spans="2:3" x14ac:dyDescent="0.35">
      <c r="B22" s="18">
        <v>2014</v>
      </c>
      <c r="C22" s="2">
        <v>0.31390000000000001</v>
      </c>
    </row>
    <row r="23" spans="2:3" x14ac:dyDescent="0.35">
      <c r="B23" s="18">
        <v>2015</v>
      </c>
      <c r="C23" s="2">
        <v>-4.0599999999999997E-2</v>
      </c>
    </row>
    <row r="24" spans="2:3" x14ac:dyDescent="0.35">
      <c r="B24" s="18">
        <v>2016</v>
      </c>
      <c r="C24" s="2">
        <v>3.0099999999999998E-2</v>
      </c>
    </row>
    <row r="25" spans="2:3" x14ac:dyDescent="0.35">
      <c r="B25" s="18">
        <v>2017</v>
      </c>
      <c r="C25" s="2">
        <v>0.28649999999999998</v>
      </c>
    </row>
    <row r="26" spans="2:3" x14ac:dyDescent="0.35">
      <c r="B26" s="18">
        <v>2018</v>
      </c>
      <c r="C26" s="2">
        <v>3.15E-2</v>
      </c>
    </row>
    <row r="27" spans="2:3" x14ac:dyDescent="0.35">
      <c r="B27" s="18">
        <v>2019</v>
      </c>
      <c r="C27" s="2">
        <v>0.1202</v>
      </c>
    </row>
    <row r="28" spans="2:3" x14ac:dyDescent="0.35">
      <c r="B28" s="18">
        <v>2020</v>
      </c>
      <c r="C28" s="2">
        <v>0.14899999999999999</v>
      </c>
    </row>
    <row r="29" spans="2:3" x14ac:dyDescent="0.35">
      <c r="B29" s="18">
        <v>2021</v>
      </c>
      <c r="C29" s="2">
        <v>0.2412</v>
      </c>
    </row>
    <row r="30" spans="2:3" x14ac:dyDescent="0.35">
      <c r="B30" s="18">
        <v>2022</v>
      </c>
      <c r="C30" s="2">
        <v>4.3200000000000002E-2</v>
      </c>
    </row>
    <row r="31" spans="2:3" x14ac:dyDescent="0.35">
      <c r="B31" s="18">
        <v>2023</v>
      </c>
      <c r="C31" s="2">
        <v>0.19420000000000001</v>
      </c>
    </row>
    <row r="32" spans="2:3" x14ac:dyDescent="0.35">
      <c r="B32" s="18">
        <v>2024</v>
      </c>
      <c r="C32" s="2">
        <v>8.7499999999999994E-2</v>
      </c>
    </row>
    <row r="33" spans="2:3" x14ac:dyDescent="0.35">
      <c r="B33" s="18">
        <v>2025</v>
      </c>
      <c r="C33" s="2">
        <v>0.1051</v>
      </c>
    </row>
    <row r="34" spans="2:3" x14ac:dyDescent="0.35">
      <c r="B34" s="18">
        <v>2026</v>
      </c>
      <c r="C34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A4D7-56E9-4EA3-AD05-DB70431C3CD0}">
  <dimension ref="B6:G11"/>
  <sheetViews>
    <sheetView showGridLines="0" workbookViewId="0">
      <selection activeCell="C7" sqref="C7:C11"/>
    </sheetView>
  </sheetViews>
  <sheetFormatPr defaultRowHeight="14.5" x14ac:dyDescent="0.35"/>
  <cols>
    <col min="1" max="1" width="1.81640625" customWidth="1"/>
  </cols>
  <sheetData>
    <row r="6" spans="2:7" x14ac:dyDescent="0.35">
      <c r="B6" t="s">
        <v>10</v>
      </c>
      <c r="C6" t="s">
        <v>11</v>
      </c>
      <c r="D6" t="s">
        <v>18</v>
      </c>
      <c r="E6" t="s">
        <v>19</v>
      </c>
      <c r="F6" t="s">
        <v>20</v>
      </c>
      <c r="G6" t="s">
        <v>12</v>
      </c>
    </row>
    <row r="7" spans="2:7" x14ac:dyDescent="0.35">
      <c r="B7">
        <v>1</v>
      </c>
      <c r="C7" t="s">
        <v>13</v>
      </c>
      <c r="D7">
        <v>2365.6</v>
      </c>
      <c r="E7">
        <v>855894.78</v>
      </c>
      <c r="F7">
        <v>11283</v>
      </c>
      <c r="G7">
        <v>0.11</v>
      </c>
    </row>
    <row r="8" spans="2:7" x14ac:dyDescent="0.35">
      <c r="B8">
        <v>2</v>
      </c>
      <c r="C8" t="s">
        <v>14</v>
      </c>
      <c r="D8">
        <v>1130.0999999999999</v>
      </c>
      <c r="E8">
        <v>458546.98</v>
      </c>
      <c r="F8">
        <v>8737</v>
      </c>
      <c r="G8">
        <v>0.1</v>
      </c>
    </row>
    <row r="9" spans="2:7" x14ac:dyDescent="0.35">
      <c r="B9">
        <v>3</v>
      </c>
      <c r="C9" t="s">
        <v>15</v>
      </c>
      <c r="D9">
        <v>1346.9</v>
      </c>
      <c r="E9">
        <v>365503.55</v>
      </c>
      <c r="F9">
        <v>5215</v>
      </c>
      <c r="G9">
        <v>7.0000000000000007E-2</v>
      </c>
    </row>
    <row r="10" spans="2:7" x14ac:dyDescent="0.35">
      <c r="B10">
        <v>4</v>
      </c>
      <c r="C10" t="s">
        <v>16</v>
      </c>
      <c r="D10">
        <v>183.65</v>
      </c>
      <c r="E10">
        <v>181891.68</v>
      </c>
      <c r="F10">
        <v>20291</v>
      </c>
      <c r="G10">
        <v>0.23</v>
      </c>
    </row>
    <row r="11" spans="2:7" x14ac:dyDescent="0.35">
      <c r="B11">
        <v>5</v>
      </c>
      <c r="C11" t="s">
        <v>17</v>
      </c>
      <c r="D11">
        <v>1651.3</v>
      </c>
      <c r="E11">
        <v>161841.4</v>
      </c>
      <c r="F11">
        <v>2186.1999999999998</v>
      </c>
      <c r="G11">
        <v>7.0000000000000007E-2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5F2CAE3B2FD469E4CA87FB05DEA6D" ma:contentTypeVersion="4" ma:contentTypeDescription="Create a new document." ma:contentTypeScope="" ma:versionID="88bcd75fda3a01327e0e388feefd8083">
  <xsd:schema xmlns:xsd="http://www.w3.org/2001/XMLSchema" xmlns:xs="http://www.w3.org/2001/XMLSchema" xmlns:p="http://schemas.microsoft.com/office/2006/metadata/properties" xmlns:ns3="cc512508-b7cd-460e-b613-c78e8e3134d6" targetNamespace="http://schemas.microsoft.com/office/2006/metadata/properties" ma:root="true" ma:fieldsID="9dd7351ae75f9e13b72b053c30a5a354" ns3:_="">
    <xsd:import namespace="cc512508-b7cd-460e-b613-c78e8e3134d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12508-b7cd-460e-b613-c78e8e3134d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AA7AAB-DE01-4736-8355-EAC3FEB1AF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12508-b7cd-460e-b613-c78e8e3134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3DB429-DE97-434F-855A-6E6798CF63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F740A2-3722-4367-A5E6-D8C565AC3EE1}">
  <ds:schemaRefs>
    <ds:schemaRef ds:uri="http://www.w3.org/XML/1998/namespace"/>
    <ds:schemaRef ds:uri="cc512508-b7cd-460e-b613-c78e8e3134d6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Data Sheet</vt:lpstr>
      <vt:lpstr>HistoricalFS</vt:lpstr>
      <vt:lpstr>Ratio Analysis</vt:lpstr>
      <vt:lpstr>WACC</vt:lpstr>
      <vt:lpstr>Raw FS</vt:lpstr>
      <vt:lpstr>Intrinsic Growth</vt:lpstr>
      <vt:lpstr>DCF</vt:lpstr>
      <vt:lpstr>Assumptions</vt:lpstr>
      <vt:lpstr>RM</vt:lpstr>
      <vt:lpstr>COMPS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2026-07-31T15:00:18Z</dcterms:created>
  <dcterms:modified xsi:type="dcterms:W3CDTF">2026-08-25T15:26:33Z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0x010100DC15F2CAE3B2FD469E4CA87FB05DEA6D</vt:lpwstr>
  </property>
</Properties>
</file>